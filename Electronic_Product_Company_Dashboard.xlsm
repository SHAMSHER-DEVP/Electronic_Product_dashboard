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202300"/>
  <mc:AlternateContent xmlns:mc="http://schemas.openxmlformats.org/markup-compatibility/2006">
    <mc:Choice Requires="x15">
      <x15ac:absPath xmlns:x15ac="http://schemas.microsoft.com/office/spreadsheetml/2010/11/ac" url="D:\Data_Analyst\"/>
    </mc:Choice>
  </mc:AlternateContent>
  <xr:revisionPtr revIDLastSave="0" documentId="13_ncr:1_{6AF0AF41-A664-46E7-BE1E-223416D20EDB}" xr6:coauthVersionLast="47" xr6:coauthVersionMax="47" xr10:uidLastSave="{00000000-0000-0000-0000-000000000000}"/>
  <bookViews>
    <workbookView xWindow="-120" yWindow="-120" windowWidth="24240" windowHeight="13140" activeTab="3" xr2:uid="{C3598063-96C4-479E-8D33-75E900E13D86}"/>
  </bookViews>
  <sheets>
    <sheet name="Project_requirements" sheetId="1" r:id="rId1"/>
    <sheet name="ElectronicProductData" sheetId="2" r:id="rId2"/>
    <sheet name="Summary" sheetId="3" r:id="rId3"/>
    <sheet name="dashboard" sheetId="4" r:id="rId4"/>
  </sheets>
  <definedNames>
    <definedName name="_xlnm._FilterDatabase" localSheetId="2" hidden="1">Summary!$A$2:$H$43</definedName>
    <definedName name="dynamic_epd">OFFSET(Summary!$A$2,0,0,COUNTA(Summary!$A$2:$A$1048576),COUNTA(Summary!$2:$2))</definedName>
    <definedName name="DynamicProduct">OFFSET(ElectronicProductData!$B$1,0,0,COUNTA(ElectronicProductData!$B:$B),COUNTA(ElectronicProductData!$1:$1))</definedName>
    <definedName name="epd">ElectronicProductData!$A$1:$G$52</definedName>
    <definedName name="Slicer_month">#N/A</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4" i="3" l="1"/>
  <c r="J7" i="3" a="1"/>
  <c r="J7" i="3" s="1"/>
  <c r="C20" i="3" l="1"/>
  <c r="C28" i="3"/>
  <c r="C35" i="3"/>
  <c r="C6" i="3"/>
  <c r="C33" i="3"/>
  <c r="C14" i="3"/>
  <c r="C24" i="3"/>
  <c r="C41" i="3"/>
  <c r="C18" i="3"/>
  <c r="C37" i="3"/>
  <c r="C21" i="3"/>
  <c r="C5" i="3"/>
  <c r="C9" i="3"/>
  <c r="C39" i="3"/>
  <c r="C17" i="3"/>
  <c r="C27" i="3"/>
  <c r="C30" i="3"/>
  <c r="C12" i="3"/>
  <c r="C19" i="3"/>
  <c r="C42" i="3"/>
  <c r="C31" i="3"/>
  <c r="C13" i="3"/>
  <c r="C36" i="3"/>
  <c r="C7" i="3"/>
  <c r="C29" i="3"/>
  <c r="C25" i="3"/>
  <c r="C15" i="3"/>
  <c r="C43" i="3"/>
  <c r="C8" i="3"/>
  <c r="C22" i="3"/>
  <c r="C34" i="3"/>
  <c r="C4" i="3"/>
  <c r="C26" i="3"/>
  <c r="C10" i="3"/>
  <c r="C38" i="3"/>
  <c r="C3" i="3"/>
  <c r="C32" i="3"/>
  <c r="C11" i="3"/>
  <c r="C23" i="3"/>
  <c r="C40" i="3"/>
  <c r="C16"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<sst xmlns="http://schemas.openxmlformats.org/spreadsheetml/2006/main" count="515" uniqueCount="153">
  <si>
    <t>Project Overview</t>
  </si>
  <si>
    <t>You're a sales manager for a company that sells electronic products. You want to create a dashboard to track sales performance, customer demographics, and product trends.</t>
  </si>
  <si>
    <t>Dashboard Requirements</t>
  </si>
  <si>
    <t>1. Sales Performance:</t>
  </si>
  <si>
    <t xml:space="preserve">    - Total sales amount by region</t>
  </si>
  <si>
    <t xml:space="preserve">    - Top 3 salespeople by sales amount</t>
  </si>
  <si>
    <t xml:space="preserve">    - Sales amount by product category</t>
  </si>
  <si>
    <t>2. Customer Demographics:</t>
  </si>
  <si>
    <t xml:space="preserve">    - Customer age distribution</t>
  </si>
  <si>
    <t xml:space="preserve">    - Customer location distribution</t>
  </si>
  <si>
    <t>3. Product Trends:</t>
  </si>
  <si>
    <t xml:space="preserve">    - Sales amount by product category over time</t>
  </si>
  <si>
    <t xml:space="preserve">    - Top 3 best-selling products</t>
  </si>
  <si>
    <t>Tasks</t>
  </si>
  <si>
    <t>1. Create a pivot table to summarize sales data by region, salesperson, and product category.</t>
  </si>
  <si>
    <t>2. Create charts to visualize sales performance, customer demographics, and product trends.</t>
  </si>
  <si>
    <t>3. Use conditional formatting to highlight top-performing salespeople and products.</t>
  </si>
  <si>
    <t>4. Create interactive filters to allow users to select specific regions, salespeople, or product categories.</t>
  </si>
  <si>
    <t>Deliverables</t>
  </si>
  <si>
    <t>1. A fully functional dashboard with interactive charts and filters.</t>
  </si>
  <si>
    <t>2. A written report summarizing key insights and trends from the data.</t>
  </si>
  <si>
    <t>Salesperson</t>
  </si>
  <si>
    <t>Region</t>
  </si>
  <si>
    <t>Product</t>
  </si>
  <si>
    <t>Sales Amount</t>
  </si>
  <si>
    <t>Date</t>
  </si>
  <si>
    <t>North</t>
  </si>
  <si>
    <t>Laptop</t>
  </si>
  <si>
    <t>Sophia</t>
  </si>
  <si>
    <t>South</t>
  </si>
  <si>
    <t>Tablet</t>
  </si>
  <si>
    <t>Michael</t>
  </si>
  <si>
    <t>East</t>
  </si>
  <si>
    <t>Smartphone</t>
  </si>
  <si>
    <t>Emma</t>
  </si>
  <si>
    <t>West</t>
  </si>
  <si>
    <t>John</t>
  </si>
  <si>
    <t>Jane</t>
  </si>
  <si>
    <t>Mike</t>
  </si>
  <si>
    <t>Emily</t>
  </si>
  <si>
    <t>City</t>
  </si>
  <si>
    <t>New York</t>
  </si>
  <si>
    <t>Los Angeles</t>
  </si>
  <si>
    <t>Chicago</t>
  </si>
  <si>
    <t>Houston</t>
  </si>
  <si>
    <t>Philadelphia</t>
  </si>
  <si>
    <t>Phoenix</t>
  </si>
  <si>
    <t>San Antonio</t>
  </si>
  <si>
    <t>San Diego</t>
  </si>
  <si>
    <t>Dallas</t>
  </si>
  <si>
    <t>San Jose</t>
  </si>
  <si>
    <t>Austin</t>
  </si>
  <si>
    <t>Jacksonville</t>
  </si>
  <si>
    <t>Fort Worth</t>
  </si>
  <si>
    <t>Columbus</t>
  </si>
  <si>
    <t>Charlotte</t>
  </si>
  <si>
    <t>San Francisco</t>
  </si>
  <si>
    <t>Indianapolis</t>
  </si>
  <si>
    <t>Seattle</t>
  </si>
  <si>
    <t>Denver</t>
  </si>
  <si>
    <t>Washington</t>
  </si>
  <si>
    <t>Boston</t>
  </si>
  <si>
    <t>El Paso</t>
  </si>
  <si>
    <t>Nashville</t>
  </si>
  <si>
    <t>Detroit</t>
  </si>
  <si>
    <t>Memphis</t>
  </si>
  <si>
    <t>Portland</t>
  </si>
  <si>
    <t>Oklahoma City</t>
  </si>
  <si>
    <t>Las Vegas</t>
  </si>
  <si>
    <t>Louisville</t>
  </si>
  <si>
    <t>Baltimore</t>
  </si>
  <si>
    <t>Milwaukee</t>
  </si>
  <si>
    <t>Albuquerque</t>
  </si>
  <si>
    <t>Tucson</t>
  </si>
  <si>
    <t>Fresno</t>
  </si>
  <si>
    <t>Sacramento</t>
  </si>
  <si>
    <t>Kansas City</t>
  </si>
  <si>
    <t>Mesa</t>
  </si>
  <si>
    <t>Atlanta</t>
  </si>
  <si>
    <t>Omaha</t>
  </si>
  <si>
    <t>Raleigh</t>
  </si>
  <si>
    <t>Miami</t>
  </si>
  <si>
    <t>Virginia Beach</t>
  </si>
  <si>
    <t>Oakland</t>
  </si>
  <si>
    <t>Minneapolis</t>
  </si>
  <si>
    <t>Tulsa</t>
  </si>
  <si>
    <t>Arlington</t>
  </si>
  <si>
    <t>New Orleans</t>
  </si>
  <si>
    <t>Wichita</t>
  </si>
  <si>
    <t>Cleveland</t>
  </si>
  <si>
    <t>Tampa</t>
  </si>
  <si>
    <t>Ali</t>
  </si>
  <si>
    <t>amr</t>
  </si>
  <si>
    <t>tv</t>
  </si>
  <si>
    <t>sahiwal</t>
  </si>
  <si>
    <t>ID</t>
  </si>
  <si>
    <t>Y154</t>
  </si>
  <si>
    <t>O194</t>
  </si>
  <si>
    <t>E169</t>
  </si>
  <si>
    <t>R114</t>
  </si>
  <si>
    <t>X107</t>
  </si>
  <si>
    <t>R182</t>
  </si>
  <si>
    <t>Q151</t>
  </si>
  <si>
    <t>C170</t>
  </si>
  <si>
    <t>A163</t>
  </si>
  <si>
    <t>Y145</t>
  </si>
  <si>
    <t>M135</t>
  </si>
  <si>
    <t>S129</t>
  </si>
  <si>
    <t>V112</t>
  </si>
  <si>
    <t>U107</t>
  </si>
  <si>
    <t>J143</t>
  </si>
  <si>
    <t>P150</t>
  </si>
  <si>
    <t>O117</t>
  </si>
  <si>
    <t>P159</t>
  </si>
  <si>
    <t>N191</t>
  </si>
  <si>
    <t>B191</t>
  </si>
  <si>
    <t>C119</t>
  </si>
  <si>
    <t>G178</t>
  </si>
  <si>
    <t>Z147</t>
  </si>
  <si>
    <t>F197</t>
  </si>
  <si>
    <t>C108</t>
  </si>
  <si>
    <t>M188</t>
  </si>
  <si>
    <t>D135</t>
  </si>
  <si>
    <t>N132</t>
  </si>
  <si>
    <t>J101</t>
  </si>
  <si>
    <t>C159</t>
  </si>
  <si>
    <t>F106</t>
  </si>
  <si>
    <t>Q102</t>
  </si>
  <si>
    <t>R130</t>
  </si>
  <si>
    <t>I199</t>
  </si>
  <si>
    <t>A133</t>
  </si>
  <si>
    <t>Y155</t>
  </si>
  <si>
    <t>O182</t>
  </si>
  <si>
    <t>A167</t>
  </si>
  <si>
    <t>B121</t>
  </si>
  <si>
    <t>V108</t>
  </si>
  <si>
    <t>A141</t>
  </si>
  <si>
    <t>month</t>
  </si>
  <si>
    <t>Row Labels</t>
  </si>
  <si>
    <t>Grand Total</t>
  </si>
  <si>
    <t>Sum of Sales Amount</t>
  </si>
  <si>
    <t>Electronic Product Data</t>
  </si>
  <si>
    <t>Electronic Products Data Dashboard</t>
  </si>
  <si>
    <t xml:space="preserve">here I used the rank formula to hilight the entire row </t>
  </si>
  <si>
    <t>RANK($G3,$G$3:$G$43)&lt;=3</t>
  </si>
  <si>
    <t>ahmad</t>
  </si>
  <si>
    <t>wewe</t>
  </si>
  <si>
    <t>telie</t>
  </si>
  <si>
    <t>ER123</t>
  </si>
  <si>
    <t xml:space="preserve">to apply the increment and decrement </t>
  </si>
  <si>
    <t>Sheet2.Range("C3").Value</t>
  </si>
  <si>
    <t xml:space="preserve">in the vbn  used this formula </t>
  </si>
  <si>
    <t>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</si>
</sst>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ptos Narrow"/>
      <family val="2"/>
      <scheme val="minor"/>
    </font>
    <font>
      <b/>
      <sz val="11"/>
      <color theme="1"/>
      <name val="Aptos Narrow"/>
      <family val="2"/>
      <scheme val="minor"/>
    </font>
    <font>
      <sz val="26"/>
      <color theme="1"/>
      <name val="Aptos Narrow"/>
      <family val="2"/>
      <scheme val="minor"/>
    </font>
    <font>
      <b/>
      <sz val="20"/>
      <color rgb="FFFFFF00"/>
      <name val="Aptos Narrow"/>
      <family val="2"/>
      <scheme val="minor"/>
    </font>
    <font>
      <sz val="11"/>
      <color theme="4" tint="0.39997558519241921"/>
      <name val="Aptos Narrow"/>
      <family val="2"/>
      <scheme val="minor"/>
    </font>
  </fonts>
  <fills count="5">
    <fill>
      <patternFill patternType="none"/>
    </fill>
    <fill>
      <patternFill patternType="gray125"/>
    </fill>
    <fill>
      <patternFill patternType="solid">
        <fgColor rgb="FFFFFF00"/>
        <bgColor indexed="64"/>
      </patternFill>
    </fill>
    <fill>
      <patternFill patternType="solid">
        <fgColor theme="4" tint="0.39997558519241921"/>
        <bgColor indexed="64"/>
      </patternFill>
    </fill>
    <fill>
      <patternFill patternType="solid">
        <fgColor theme="5"/>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1">
    <xf numFmtId="0" fontId="0" fillId="0" borderId="0"/>
  </cellStyleXfs>
  <cellXfs count="15">
    <xf numFmtId="0" fontId="0" fillId="0" borderId="0" xfId="0"/>
    <xf numFmtId="0" fontId="0" fillId="0" borderId="1" xfId="0" applyBorder="1"/>
    <xf numFmtId="14" fontId="0" fillId="0" borderId="1" xfId="0" applyNumberFormat="1" applyBorder="1"/>
    <xf numFmtId="0" fontId="1" fillId="0" borderId="1" xfId="0" applyFont="1" applyBorder="1"/>
    <xf numFmtId="14" fontId="1" fillId="0" borderId="1" xfId="0" applyNumberFormat="1" applyFont="1" applyBorder="1"/>
    <xf numFmtId="14" fontId="0" fillId="0" borderId="0" xfId="0" applyNumberFormat="1"/>
    <xf numFmtId="0" fontId="0" fillId="3" borderId="0" xfId="0" applyFill="1"/>
    <xf numFmtId="0" fontId="0" fillId="3" borderId="0" xfId="0" applyFill="1" applyAlignment="1">
      <alignment horizontal="left"/>
    </xf>
    <xf numFmtId="10" fontId="0" fillId="3" borderId="0" xfId="0" applyNumberFormat="1" applyFill="1"/>
    <xf numFmtId="1" fontId="0" fillId="3" borderId="0" xfId="0" applyNumberFormat="1" applyFill="1"/>
    <xf numFmtId="0" fontId="0" fillId="0" borderId="2" xfId="0" applyBorder="1"/>
    <xf numFmtId="0" fontId="0" fillId="0" borderId="3" xfId="0" applyBorder="1"/>
    <xf numFmtId="0" fontId="3" fillId="4" borderId="0" xfId="0" applyFont="1" applyFill="1" applyAlignment="1">
      <alignment horizontal="center"/>
    </xf>
    <xf numFmtId="0" fontId="2" fillId="2" borderId="0" xfId="0" applyFont="1" applyFill="1" applyAlignment="1">
      <alignment horizontal="center"/>
    </xf>
    <xf numFmtId="0" fontId="4" fillId="3" borderId="0" xfId="0" applyFont="1" applyFill="1"/>
  </cellXfs>
  <cellStyles count="1">
    <cellStyle name="Normal" xfId="0" builtinId="0"/>
  </cellStyles>
  <dxfs count="163">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b/>
        <i val="0"/>
      </font>
      <fill>
        <patternFill>
          <bgColor rgb="FFFFFF0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[Electronic_Product_Company_Dashboard.xlsm]dashboard!PivotTable1</c:name>
    <c:fmtId val="0"/>
  </c:pivotSource>
  <c:chart>
    <c:autoTitleDeleted val="1"/>
    <c:pivotFmts>
      <c:pivotFmt>
        <c:idx val="0"/>
        <c:spPr>
          <a:solidFill>
            <a:schemeClr val="accent1"/>
          </a:solidFill>
          <a:ln w="19050">
            <a:solidFill>
              <a:schemeClr val="lt1"/>
            </a:solidFill>
          </a:ln>
          <a:effectLst/>
        </c:spPr>
        <c:marker>
          <c:symbol val="none"/>
        </c:marker>
        <c:dLbl>
          <c:idx val="0"/>
          <c:spPr>
            <a:solidFill>
              <a:schemeClr val="accent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PK"/>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manualLayout>
          <c:layoutTarget val="inner"/>
          <c:xMode val="edge"/>
          <c:yMode val="edge"/>
          <c:x val="5.8249767166200998E-2"/>
          <c:y val="3.4722222222222224E-2"/>
          <c:w val="0.86021505376344087"/>
          <c:h val="0.92592592592592593"/>
        </c:manualLayout>
      </c:layout>
      <c:pieChart>
        <c:varyColors val="1"/>
        <c:ser>
          <c:idx val="0"/>
          <c:order val="0"/>
          <c:tx>
            <c:strRef>
              <c:f>dashboard!$B$3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EA7-4592-AABA-E8B347C7F47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EA7-4592-AABA-E8B347C7F47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EA7-4592-AABA-E8B347C7F47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6E-4650-8457-B274BA976AE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6E-4650-8457-B274BA976AEA}"/>
              </c:ext>
            </c:extLst>
          </c:dPt>
          <c:dLbls>
            <c:spPr>
              <a:solidFill>
                <a:schemeClr val="accent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PK"/>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dashboard!$A$4:$A$6</c:f>
              <c:strCache>
                <c:ptCount val="2"/>
                <c:pt idx="0">
                  <c:v>South</c:v>
                </c:pt>
                <c:pt idx="1">
                  <c:v>West</c:v>
                </c:pt>
              </c:strCache>
            </c:strRef>
          </c:cat>
          <c:val>
            <c:numRef>
              <c:f>dashboard!$B$4:$B$6</c:f>
              <c:numCache>
                <c:formatCode>0.00%</c:formatCode>
                <c:ptCount val="2"/>
                <c:pt idx="0">
                  <c:v>0.48720136518771329</c:v>
                </c:pt>
                <c:pt idx="1">
                  <c:v>0.51279863481228671</c:v>
                </c:pt>
              </c:numCache>
            </c:numRef>
          </c:val>
          <c:extLst>
            <c:ext xmlns:c16="http://schemas.microsoft.com/office/drawing/2014/chart" uri="{C3380CC4-5D6E-409C-BE32-E72D297353CC}">
              <c16:uniqueId val="{00000000-0C2A-4C12-942C-C00FD5E40A7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[Electronic_Product_Company_Dashboard.xlsm]dashboard!PivotTable2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156905014909955E-2"/>
          <c:y val="0.10289007874015749"/>
          <c:w val="0.96529284955270156"/>
          <c:h val="0.80047916010498699"/>
        </c:manualLayout>
      </c:layout>
      <c:barChart>
        <c:barDir val="col"/>
        <c:grouping val="clustered"/>
        <c:varyColors val="0"/>
        <c:ser>
          <c:idx val="0"/>
          <c:order val="0"/>
          <c:tx>
            <c:strRef>
              <c:f>dashboard!$E$3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dashboard!$D$4:$D$6</c:f>
              <c:strCache>
                <c:ptCount val="2"/>
                <c:pt idx="0">
                  <c:v>Emma</c:v>
                </c:pt>
                <c:pt idx="1">
                  <c:v>Jane</c:v>
                </c:pt>
              </c:strCache>
            </c:strRef>
          </c:cat>
          <c:val>
            <c:numRef>
              <c:f>dashboard!$E$4:$E$6</c:f>
              <c:numCache>
                <c:formatCode>0</c:formatCode>
                <c:ptCount val="2"/>
                <c:pt idx="0">
                  <c:v>6330</c:v>
                </c:pt>
                <c:pt idx="1">
                  <c:v>5900</c:v>
                </c:pt>
              </c:numCache>
            </c:numRef>
          </c:val>
          <c:extLst>
            <c:ext xmlns:c16="http://schemas.microsoft.com/office/drawing/2014/chart" uri="{C3380CC4-5D6E-409C-BE32-E72D297353CC}">
              <c16:uniqueId val="{00000000-291E-47CC-8D45-4527430DA014}"/>
            </c:ext>
          </c:extLst>
        </c:ser>
        <c:dLbls>
          <c:showLegendKey val="0"/>
          <c:showVal val="0"/>
          <c:showCatName val="0"/>
          <c:showSerName val="0"/>
          <c:showPercent val="0"/>
          <c:showBubbleSize val="0"/>
        </c:dLbls>
        <c:gapWidth val="219"/>
        <c:overlap val="-27"/>
        <c:axId val="1356160223"/>
        <c:axId val="1356156383"/>
      </c:barChart>
      <c:catAx>
        <c:axId val="1356160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356156383"/>
        <c:crosses val="autoZero"/>
        <c:auto val="1"/>
        <c:lblAlgn val="ctr"/>
        <c:lblOffset val="100"/>
        <c:noMultiLvlLbl val="0"/>
      </c:catAx>
      <c:valAx>
        <c:axId val="1356156383"/>
        <c:scaling>
          <c:orientation val="minMax"/>
        </c:scaling>
        <c:delete val="1"/>
        <c:axPos val="l"/>
        <c:numFmt formatCode="0" sourceLinked="1"/>
        <c:majorTickMark val="none"/>
        <c:minorTickMark val="none"/>
        <c:tickLblPos val="nextTo"/>
        <c:crossAx val="13561602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[Electronic_Product_Company_Dashboard.xlsm]dashboard!PivotTable3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dashboard!$H$3</c:f>
              <c:strCache>
                <c:ptCount val="1"/>
                <c:pt idx="0">
                  <c:v>Total</c:v>
                </c:pt>
              </c:strCache>
            </c:strRef>
          </c:tx>
          <c:spPr>
            <a:solidFill>
              <a:schemeClr val="accent1"/>
            </a:solidFill>
            <a:ln>
              <a:noFill/>
            </a:ln>
            <a:effectLst/>
          </c:spPr>
          <c:invertIfNegative val="0"/>
          <c:cat>
            <c:strRef>
              <c:f>dashboard!$G$4:$G$7</c:f>
              <c:strCache>
                <c:ptCount val="3"/>
                <c:pt idx="0">
                  <c:v>Laptop</c:v>
                </c:pt>
                <c:pt idx="1">
                  <c:v>Smartphone</c:v>
                </c:pt>
                <c:pt idx="2">
                  <c:v>Tablet</c:v>
                </c:pt>
              </c:strCache>
            </c:strRef>
          </c:cat>
          <c:val>
            <c:numRef>
              <c:f>dashboard!$H$4:$H$7</c:f>
              <c:numCache>
                <c:formatCode>0</c:formatCode>
                <c:ptCount val="3"/>
                <c:pt idx="0">
                  <c:v>23770</c:v>
                </c:pt>
                <c:pt idx="1">
                  <c:v>10050</c:v>
                </c:pt>
                <c:pt idx="2">
                  <c:v>10300</c:v>
                </c:pt>
              </c:numCache>
            </c:numRef>
          </c:val>
          <c:extLst>
            <c:ext xmlns:c16="http://schemas.microsoft.com/office/drawing/2014/chart" uri="{C3380CC4-5D6E-409C-BE32-E72D297353CC}">
              <c16:uniqueId val="{00000000-709F-403E-BDDC-F679B8069397}"/>
            </c:ext>
          </c:extLst>
        </c:ser>
        <c:dLbls>
          <c:showLegendKey val="0"/>
          <c:showVal val="0"/>
          <c:showCatName val="0"/>
          <c:showSerName val="0"/>
          <c:showPercent val="0"/>
          <c:showBubbleSize val="0"/>
        </c:dLbls>
        <c:gapWidth val="182"/>
        <c:axId val="1636567823"/>
        <c:axId val="1636564463"/>
      </c:barChart>
      <c:catAx>
        <c:axId val="16365678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636564463"/>
        <c:crosses val="autoZero"/>
        <c:auto val="1"/>
        <c:lblAlgn val="ctr"/>
        <c:lblOffset val="100"/>
        <c:noMultiLvlLbl val="0"/>
      </c:catAx>
      <c:valAx>
        <c:axId val="1636564463"/>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6365678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C$3" max="4" min="1" page="10" val="2"/>
</file>

<file path=xl/ctrlProps/ctrlProp2.xml><?xml version="1.0" encoding="utf-8"?>
<formControlPr xmlns="http://schemas.microsoft.com/office/spreadsheetml/2009/9/main" objectType="Spin" dx="22" fmlaLink="$F$3" max="4" min="1" page="10" val="2"/>
</file>

<file path=xl/ctrlProps/ctrlProp3.xml><?xml version="1.0" encoding="utf-8"?>
<formControlPr xmlns="http://schemas.microsoft.com/office/spreadsheetml/2009/9/main" objectType="Spin" dx="22" fmlaLink="$F$4" max="4" min="1" page="10" val="3"/>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4.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3.png"/><Relationship Id="rId5" Type="http://schemas.openxmlformats.org/officeDocument/2006/relationships/image" Target="../media/image2.sv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561975</xdr:colOff>
      <xdr:row>1</xdr:row>
      <xdr:rowOff>85725</xdr:rowOff>
    </xdr:from>
    <xdr:to>
      <xdr:col>4</xdr:col>
      <xdr:colOff>2066925</xdr:colOff>
      <xdr:row>1</xdr:row>
      <xdr:rowOff>619125</xdr:rowOff>
    </xdr:to>
    <xdr:sp macro="" textlink="">
      <xdr:nvSpPr>
        <xdr:cNvPr id="28" name="Rectangle: Rounded Corners 27">
          <a:extLst>
            <a:ext uri="{FF2B5EF4-FFF2-40B4-BE49-F238E27FC236}">
              <a16:creationId xmlns:a16="http://schemas.microsoft.com/office/drawing/2014/main" id="{B768296E-B924-D496-293B-1F26BB26263F}"/>
            </a:ext>
          </a:extLst>
        </xdr:cNvPr>
        <xdr:cNvSpPr/>
      </xdr:nvSpPr>
      <xdr:spPr>
        <a:xfrm>
          <a:off x="3600450" y="428625"/>
          <a:ext cx="3009900" cy="533400"/>
        </a:xfrm>
        <a:prstGeom prst="roundRect">
          <a:avLst/>
        </a:prstGeom>
        <a:ln>
          <a:noFill/>
        </a:ln>
        <a:effectLst>
          <a:glow rad="101600">
            <a:srgbClr val="FFFF00">
              <a:alpha val="60000"/>
            </a:srgb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PK" sz="1100"/>
        </a:p>
      </xdr:txBody>
    </xdr:sp>
    <xdr:clientData/>
  </xdr:twoCellAnchor>
  <xdr:twoCellAnchor editAs="oneCell">
    <xdr:from>
      <xdr:col>8</xdr:col>
      <xdr:colOff>47624</xdr:colOff>
      <xdr:row>1</xdr:row>
      <xdr:rowOff>66675</xdr:rowOff>
    </xdr:from>
    <xdr:to>
      <xdr:col>10</xdr:col>
      <xdr:colOff>0</xdr:colOff>
      <xdr:row>4</xdr:row>
      <xdr:rowOff>76200</xdr:rowOff>
    </xdr:to>
    <mc:AlternateContent xmlns:mc="http://schemas.openxmlformats.org/markup-compatibility/2006" xmlns:a14="http://schemas.microsoft.com/office/drawing/2010/main">
      <mc:Choice Requires="a14">
        <xdr:graphicFrame macro="">
          <xdr:nvGraphicFramePr>
            <xdr:cNvPr id="2" name="month">
              <a:extLst>
                <a:ext uri="{FF2B5EF4-FFF2-40B4-BE49-F238E27FC236}">
                  <a16:creationId xmlns:a16="http://schemas.microsoft.com/office/drawing/2014/main" id="{5C146F7F-DAE1-3563-1E27-48FCDE97EE01}"/>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8801099" y="257175"/>
              <a:ext cx="590551" cy="1066800"/>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47625</xdr:colOff>
      <xdr:row>8</xdr:row>
      <xdr:rowOff>52387</xdr:rowOff>
    </xdr:from>
    <xdr:to>
      <xdr:col>1</xdr:col>
      <xdr:colOff>1914525</xdr:colOff>
      <xdr:row>22</xdr:row>
      <xdr:rowOff>128587</xdr:rowOff>
    </xdr:to>
    <xdr:graphicFrame macro="">
      <xdr:nvGraphicFramePr>
        <xdr:cNvPr id="3" name="Chart 2">
          <a:extLst>
            <a:ext uri="{FF2B5EF4-FFF2-40B4-BE49-F238E27FC236}">
              <a16:creationId xmlns:a16="http://schemas.microsoft.com/office/drawing/2014/main" id="{74334B70-5D2F-9531-6450-FFE89409FA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23812</xdr:colOff>
      <xdr:row>8</xdr:row>
      <xdr:rowOff>47624</xdr:rowOff>
    </xdr:from>
    <xdr:to>
      <xdr:col>5</xdr:col>
      <xdr:colOff>0</xdr:colOff>
      <xdr:row>22</xdr:row>
      <xdr:rowOff>76199</xdr:rowOff>
    </xdr:to>
    <xdr:graphicFrame macro="">
      <xdr:nvGraphicFramePr>
        <xdr:cNvPr id="4" name="Chart 3">
          <a:extLst>
            <a:ext uri="{FF2B5EF4-FFF2-40B4-BE49-F238E27FC236}">
              <a16:creationId xmlns:a16="http://schemas.microsoft.com/office/drawing/2014/main" id="{FBB763B0-F722-5D8E-7296-15121013E9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28575</xdr:colOff>
      <xdr:row>8</xdr:row>
      <xdr:rowOff>57150</xdr:rowOff>
    </xdr:from>
    <xdr:to>
      <xdr:col>8</xdr:col>
      <xdr:colOff>14286</xdr:colOff>
      <xdr:row>22</xdr:row>
      <xdr:rowOff>38100</xdr:rowOff>
    </xdr:to>
    <xdr:graphicFrame macro="">
      <xdr:nvGraphicFramePr>
        <xdr:cNvPr id="5" name="Chart 4">
          <a:extLst>
            <a:ext uri="{FF2B5EF4-FFF2-40B4-BE49-F238E27FC236}">
              <a16:creationId xmlns:a16="http://schemas.microsoft.com/office/drawing/2014/main" id="{A9263B1C-A547-9FF9-2B61-AB85DC02BD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xdr:row>
      <xdr:rowOff>66675</xdr:rowOff>
    </xdr:from>
    <xdr:to>
      <xdr:col>1</xdr:col>
      <xdr:colOff>1924050</xdr:colOff>
      <xdr:row>1</xdr:row>
      <xdr:rowOff>600075</xdr:rowOff>
    </xdr:to>
    <xdr:sp macro="" textlink="">
      <xdr:nvSpPr>
        <xdr:cNvPr id="6" name="Rectangle: Rounded Corners 5">
          <a:extLst>
            <a:ext uri="{FF2B5EF4-FFF2-40B4-BE49-F238E27FC236}">
              <a16:creationId xmlns:a16="http://schemas.microsoft.com/office/drawing/2014/main" id="{DF66B2F4-ADEE-A79C-4AE1-D3B46E9E8BA6}"/>
            </a:ext>
          </a:extLst>
        </xdr:cNvPr>
        <xdr:cNvSpPr/>
      </xdr:nvSpPr>
      <xdr:spPr>
        <a:xfrm>
          <a:off x="0" y="409575"/>
          <a:ext cx="3009900" cy="533400"/>
        </a:xfrm>
        <a:prstGeom prst="roundRect">
          <a:avLst/>
        </a:prstGeom>
        <a:ln>
          <a:noFill/>
        </a:ln>
        <a:effectLst>
          <a:glow rad="101600">
            <a:srgbClr val="FFFF00">
              <a:alpha val="60000"/>
            </a:srgb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PK" sz="1100"/>
        </a:p>
      </xdr:txBody>
    </xdr:sp>
    <xdr:clientData/>
  </xdr:twoCellAnchor>
  <xdr:twoCellAnchor>
    <xdr:from>
      <xdr:col>6</xdr:col>
      <xdr:colOff>28576</xdr:colOff>
      <xdr:row>1</xdr:row>
      <xdr:rowOff>104775</xdr:rowOff>
    </xdr:from>
    <xdr:to>
      <xdr:col>7</xdr:col>
      <xdr:colOff>2228850</xdr:colOff>
      <xdr:row>1</xdr:row>
      <xdr:rowOff>619125</xdr:rowOff>
    </xdr:to>
    <xdr:sp macro="" textlink="">
      <xdr:nvSpPr>
        <xdr:cNvPr id="8" name="Rectangle: Rounded Corners 7">
          <a:extLst>
            <a:ext uri="{FF2B5EF4-FFF2-40B4-BE49-F238E27FC236}">
              <a16:creationId xmlns:a16="http://schemas.microsoft.com/office/drawing/2014/main" id="{7662F1AC-F7AC-10C9-D82D-BD9A7A5B7D70}"/>
            </a:ext>
          </a:extLst>
        </xdr:cNvPr>
        <xdr:cNvSpPr/>
      </xdr:nvSpPr>
      <xdr:spPr>
        <a:xfrm>
          <a:off x="7400926" y="447675"/>
          <a:ext cx="3152774" cy="514350"/>
        </a:xfrm>
        <a:prstGeom prst="roundRect">
          <a:avLst/>
        </a:prstGeom>
        <a:ln>
          <a:noFill/>
        </a:ln>
        <a:effectLst>
          <a:glow rad="101600">
            <a:srgbClr val="FFFF00">
              <a:alpha val="60000"/>
            </a:srgb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PK" sz="1100"/>
        </a:p>
      </xdr:txBody>
    </xdr:sp>
    <xdr:clientData/>
  </xdr:twoCellAnchor>
  <xdr:twoCellAnchor>
    <xdr:from>
      <xdr:col>0</xdr:col>
      <xdr:colOff>57151</xdr:colOff>
      <xdr:row>1</xdr:row>
      <xdr:rowOff>161925</xdr:rowOff>
    </xdr:from>
    <xdr:to>
      <xdr:col>0</xdr:col>
      <xdr:colOff>847725</xdr:colOff>
      <xdr:row>1</xdr:row>
      <xdr:rowOff>523875</xdr:rowOff>
    </xdr:to>
    <xdr:sp macro="" textlink="">
      <xdr:nvSpPr>
        <xdr:cNvPr id="9" name="Callout: Right Arrow 8">
          <a:extLst>
            <a:ext uri="{FF2B5EF4-FFF2-40B4-BE49-F238E27FC236}">
              <a16:creationId xmlns:a16="http://schemas.microsoft.com/office/drawing/2014/main" id="{09CDC27D-C2AB-CD26-3044-32880E373AFC}"/>
            </a:ext>
          </a:extLst>
        </xdr:cNvPr>
        <xdr:cNvSpPr/>
      </xdr:nvSpPr>
      <xdr:spPr>
        <a:xfrm>
          <a:off x="57151" y="504825"/>
          <a:ext cx="790574" cy="361950"/>
        </a:xfrm>
        <a:prstGeom prst="rightArrowCallout">
          <a:avLst>
            <a:gd name="adj1" fmla="val 50000"/>
            <a:gd name="adj2" fmla="val 25000"/>
            <a:gd name="adj3" fmla="val 35526"/>
            <a:gd name="adj4" fmla="val 79851"/>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t>chart</a:t>
          </a:r>
          <a:endParaRPr lang="en-PK" sz="1600" b="1"/>
        </a:p>
      </xdr:txBody>
    </xdr:sp>
    <xdr:clientData/>
  </xdr:twoCellAnchor>
  <xdr:twoCellAnchor>
    <xdr:from>
      <xdr:col>1</xdr:col>
      <xdr:colOff>895349</xdr:colOff>
      <xdr:row>1</xdr:row>
      <xdr:rowOff>152400</xdr:rowOff>
    </xdr:from>
    <xdr:to>
      <xdr:col>1</xdr:col>
      <xdr:colOff>1895474</xdr:colOff>
      <xdr:row>1</xdr:row>
      <xdr:rowOff>514350</xdr:rowOff>
    </xdr:to>
    <xdr:sp macro="" textlink="">
      <xdr:nvSpPr>
        <xdr:cNvPr id="15" name="Arrow: Right 14">
          <a:extLst>
            <a:ext uri="{FF2B5EF4-FFF2-40B4-BE49-F238E27FC236}">
              <a16:creationId xmlns:a16="http://schemas.microsoft.com/office/drawing/2014/main" id="{74B9D480-8750-4A67-7577-153F1784E0AA}"/>
            </a:ext>
          </a:extLst>
        </xdr:cNvPr>
        <xdr:cNvSpPr/>
      </xdr:nvSpPr>
      <xdr:spPr>
        <a:xfrm flipH="1">
          <a:off x="1981199" y="495300"/>
          <a:ext cx="1000125" cy="361950"/>
        </a:xfrm>
        <a:prstGeom prst="rightArrow">
          <a:avLst>
            <a:gd name="adj1" fmla="val 100000"/>
            <a:gd name="adj2" fmla="val 73685"/>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400" b="1">
              <a:solidFill>
                <a:schemeClr val="tx1"/>
              </a:solidFill>
            </a:rPr>
            <a:t>Record</a:t>
          </a:r>
          <a:endParaRPr lang="en-PK" sz="1400" b="1">
            <a:solidFill>
              <a:schemeClr val="tx1"/>
            </a:solidFill>
          </a:endParaRPr>
        </a:p>
      </xdr:txBody>
    </xdr:sp>
    <xdr:clientData/>
  </xdr:twoCellAnchor>
  <xdr:twoCellAnchor>
    <xdr:from>
      <xdr:col>2</xdr:col>
      <xdr:colOff>571501</xdr:colOff>
      <xdr:row>1</xdr:row>
      <xdr:rowOff>180975</xdr:rowOff>
    </xdr:from>
    <xdr:to>
      <xdr:col>3</xdr:col>
      <xdr:colOff>752475</xdr:colOff>
      <xdr:row>1</xdr:row>
      <xdr:rowOff>542925</xdr:rowOff>
    </xdr:to>
    <xdr:sp macro="" textlink="">
      <xdr:nvSpPr>
        <xdr:cNvPr id="16" name="Callout: Right Arrow 15">
          <a:extLst>
            <a:ext uri="{FF2B5EF4-FFF2-40B4-BE49-F238E27FC236}">
              <a16:creationId xmlns:a16="http://schemas.microsoft.com/office/drawing/2014/main" id="{D88960BF-64AC-4531-9A12-EB9A7F6468C8}"/>
            </a:ext>
          </a:extLst>
        </xdr:cNvPr>
        <xdr:cNvSpPr/>
      </xdr:nvSpPr>
      <xdr:spPr>
        <a:xfrm>
          <a:off x="3609976" y="523875"/>
          <a:ext cx="790574" cy="361950"/>
        </a:xfrm>
        <a:prstGeom prst="rightArrowCallout">
          <a:avLst>
            <a:gd name="adj1" fmla="val 50000"/>
            <a:gd name="adj2" fmla="val 25000"/>
            <a:gd name="adj3" fmla="val 35526"/>
            <a:gd name="adj4" fmla="val 79851"/>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t>chart</a:t>
          </a:r>
          <a:endParaRPr lang="en-PK" sz="1600" b="1"/>
        </a:p>
      </xdr:txBody>
    </xdr:sp>
    <xdr:clientData/>
  </xdr:twoCellAnchor>
  <xdr:twoCellAnchor>
    <xdr:from>
      <xdr:col>6</xdr:col>
      <xdr:colOff>38101</xdr:colOff>
      <xdr:row>1</xdr:row>
      <xdr:rowOff>180975</xdr:rowOff>
    </xdr:from>
    <xdr:to>
      <xdr:col>6</xdr:col>
      <xdr:colOff>828675</xdr:colOff>
      <xdr:row>1</xdr:row>
      <xdr:rowOff>542925</xdr:rowOff>
    </xdr:to>
    <xdr:sp macro="" textlink="">
      <xdr:nvSpPr>
        <xdr:cNvPr id="17" name="Callout: Right Arrow 16">
          <a:extLst>
            <a:ext uri="{FF2B5EF4-FFF2-40B4-BE49-F238E27FC236}">
              <a16:creationId xmlns:a16="http://schemas.microsoft.com/office/drawing/2014/main" id="{A8073B6A-B9C4-D098-64B9-FFED09717772}"/>
            </a:ext>
          </a:extLst>
        </xdr:cNvPr>
        <xdr:cNvSpPr/>
      </xdr:nvSpPr>
      <xdr:spPr>
        <a:xfrm>
          <a:off x="7410451" y="523875"/>
          <a:ext cx="790574" cy="361950"/>
        </a:xfrm>
        <a:prstGeom prst="rightArrowCallout">
          <a:avLst>
            <a:gd name="adj1" fmla="val 50000"/>
            <a:gd name="adj2" fmla="val 25000"/>
            <a:gd name="adj3" fmla="val 35526"/>
            <a:gd name="adj4" fmla="val 79851"/>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t>chart</a:t>
          </a:r>
          <a:endParaRPr lang="en-PK" sz="1600" b="1"/>
        </a:p>
      </xdr:txBody>
    </xdr:sp>
    <xdr:clientData/>
  </xdr:twoCellAnchor>
  <xdr:twoCellAnchor>
    <xdr:from>
      <xdr:col>4</xdr:col>
      <xdr:colOff>1057274</xdr:colOff>
      <xdr:row>1</xdr:row>
      <xdr:rowOff>180975</xdr:rowOff>
    </xdr:from>
    <xdr:to>
      <xdr:col>4</xdr:col>
      <xdr:colOff>2057399</xdr:colOff>
      <xdr:row>1</xdr:row>
      <xdr:rowOff>542925</xdr:rowOff>
    </xdr:to>
    <xdr:sp macro="" textlink="">
      <xdr:nvSpPr>
        <xdr:cNvPr id="18" name="Arrow: Right 17">
          <a:extLst>
            <a:ext uri="{FF2B5EF4-FFF2-40B4-BE49-F238E27FC236}">
              <a16:creationId xmlns:a16="http://schemas.microsoft.com/office/drawing/2014/main" id="{B8FF7199-4AEC-D899-55A5-D3C186E187B3}"/>
            </a:ext>
          </a:extLst>
        </xdr:cNvPr>
        <xdr:cNvSpPr/>
      </xdr:nvSpPr>
      <xdr:spPr>
        <a:xfrm flipH="1">
          <a:off x="5600699" y="523875"/>
          <a:ext cx="1000125" cy="361950"/>
        </a:xfrm>
        <a:prstGeom prst="rightArrow">
          <a:avLst>
            <a:gd name="adj1" fmla="val 100000"/>
            <a:gd name="adj2" fmla="val 73685"/>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400" b="1">
              <a:solidFill>
                <a:schemeClr val="tx1"/>
              </a:solidFill>
            </a:rPr>
            <a:t>Record</a:t>
          </a:r>
          <a:endParaRPr lang="en-PK" sz="1400" b="1">
            <a:solidFill>
              <a:schemeClr val="tx1"/>
            </a:solidFill>
          </a:endParaRPr>
        </a:p>
      </xdr:txBody>
    </xdr:sp>
    <xdr:clientData/>
  </xdr:twoCellAnchor>
  <xdr:twoCellAnchor>
    <xdr:from>
      <xdr:col>7</xdr:col>
      <xdr:colOff>1209674</xdr:colOff>
      <xdr:row>1</xdr:row>
      <xdr:rowOff>180975</xdr:rowOff>
    </xdr:from>
    <xdr:to>
      <xdr:col>7</xdr:col>
      <xdr:colOff>2209799</xdr:colOff>
      <xdr:row>1</xdr:row>
      <xdr:rowOff>542925</xdr:rowOff>
    </xdr:to>
    <xdr:sp macro="" textlink="">
      <xdr:nvSpPr>
        <xdr:cNvPr id="19" name="Arrow: Right 18">
          <a:extLst>
            <a:ext uri="{FF2B5EF4-FFF2-40B4-BE49-F238E27FC236}">
              <a16:creationId xmlns:a16="http://schemas.microsoft.com/office/drawing/2014/main" id="{97A339D6-2C4F-EAEE-881A-29A9DF668393}"/>
            </a:ext>
          </a:extLst>
        </xdr:cNvPr>
        <xdr:cNvSpPr/>
      </xdr:nvSpPr>
      <xdr:spPr>
        <a:xfrm flipH="1">
          <a:off x="9534524" y="523875"/>
          <a:ext cx="1000125" cy="361950"/>
        </a:xfrm>
        <a:prstGeom prst="rightArrow">
          <a:avLst>
            <a:gd name="adj1" fmla="val 100000"/>
            <a:gd name="adj2" fmla="val 73685"/>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400" b="1">
              <a:solidFill>
                <a:schemeClr val="tx1"/>
              </a:solidFill>
            </a:rPr>
            <a:t>Record</a:t>
          </a:r>
          <a:endParaRPr lang="en-PK" sz="1400" b="1">
            <a:solidFill>
              <a:schemeClr val="tx1"/>
            </a:solidFill>
          </a:endParaRPr>
        </a:p>
      </xdr:txBody>
    </xdr:sp>
    <xdr:clientData/>
  </xdr:twoCellAnchor>
  <xdr:twoCellAnchor editAs="oneCell">
    <xdr:from>
      <xdr:col>0</xdr:col>
      <xdr:colOff>857249</xdr:colOff>
      <xdr:row>1</xdr:row>
      <xdr:rowOff>219072</xdr:rowOff>
    </xdr:from>
    <xdr:to>
      <xdr:col>1</xdr:col>
      <xdr:colOff>57150</xdr:colOff>
      <xdr:row>1</xdr:row>
      <xdr:rowOff>504823</xdr:rowOff>
    </xdr:to>
    <xdr:pic macro="[0]!Show_chart2">
      <xdr:nvPicPr>
        <xdr:cNvPr id="23" name="Graphic 22" descr="Eye Scan with solid fill" hidden="1">
          <a:extLst>
            <a:ext uri="{FF2B5EF4-FFF2-40B4-BE49-F238E27FC236}">
              <a16:creationId xmlns:a16="http://schemas.microsoft.com/office/drawing/2014/main" id="{B494E0CB-44DE-D260-3171-1211AAA4CFF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857249" y="561972"/>
          <a:ext cx="285751" cy="285751"/>
        </a:xfrm>
        <a:prstGeom prst="rect">
          <a:avLst/>
        </a:prstGeom>
      </xdr:spPr>
    </xdr:pic>
    <xdr:clientData/>
  </xdr:twoCellAnchor>
  <xdr:twoCellAnchor>
    <xdr:from>
      <xdr:col>0</xdr:col>
      <xdr:colOff>819149</xdr:colOff>
      <xdr:row>1</xdr:row>
      <xdr:rowOff>133351</xdr:rowOff>
    </xdr:from>
    <xdr:to>
      <xdr:col>1</xdr:col>
      <xdr:colOff>876300</xdr:colOff>
      <xdr:row>1</xdr:row>
      <xdr:rowOff>561975</xdr:rowOff>
    </xdr:to>
    <xdr:grpSp>
      <xdr:nvGrpSpPr>
        <xdr:cNvPr id="10" name="Group 9">
          <a:extLst>
            <a:ext uri="{FF2B5EF4-FFF2-40B4-BE49-F238E27FC236}">
              <a16:creationId xmlns:a16="http://schemas.microsoft.com/office/drawing/2014/main" id="{9582FA3B-B071-8E75-6731-CBB76E9BDCAD}"/>
            </a:ext>
          </a:extLst>
        </xdr:cNvPr>
        <xdr:cNvGrpSpPr/>
      </xdr:nvGrpSpPr>
      <xdr:grpSpPr>
        <a:xfrm>
          <a:off x="819149" y="474664"/>
          <a:ext cx="1144589" cy="428624"/>
          <a:chOff x="847724" y="457201"/>
          <a:chExt cx="1143001" cy="428624"/>
        </a:xfrm>
      </xdr:grpSpPr>
      <xdr:pic macro="[0]!Hide_chart2">
        <xdr:nvPicPr>
          <xdr:cNvPr id="21" name="Graphic 20" descr="Eye with solid fill">
            <a:extLst>
              <a:ext uri="{FF2B5EF4-FFF2-40B4-BE49-F238E27FC236}">
                <a16:creationId xmlns:a16="http://schemas.microsoft.com/office/drawing/2014/main" id="{5A852129-C034-9551-DE1C-3BCE2100722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847724" y="523874"/>
            <a:ext cx="323851" cy="323851"/>
          </a:xfrm>
          <a:prstGeom prst="rect">
            <a:avLst/>
          </a:prstGeom>
        </xdr:spPr>
      </xdr:pic>
      <xdr:sp macro="" textlink="">
        <xdr:nvSpPr>
          <xdr:cNvPr id="24" name="Rectangle: Rounded Corners 23">
            <a:extLst>
              <a:ext uri="{FF2B5EF4-FFF2-40B4-BE49-F238E27FC236}">
                <a16:creationId xmlns:a16="http://schemas.microsoft.com/office/drawing/2014/main" id="{39A6A64C-7538-0E81-ADEB-31987D8D921E}"/>
              </a:ext>
            </a:extLst>
          </xdr:cNvPr>
          <xdr:cNvSpPr/>
        </xdr:nvSpPr>
        <xdr:spPr>
          <a:xfrm>
            <a:off x="1219200" y="457201"/>
            <a:ext cx="771525" cy="428624"/>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PK" sz="1100"/>
          </a:p>
        </xdr:txBody>
      </xdr:sp>
      <xdr:sp macro="" textlink="$C$3">
        <xdr:nvSpPr>
          <xdr:cNvPr id="25" name="Rectangle 24">
            <a:extLst>
              <a:ext uri="{FF2B5EF4-FFF2-40B4-BE49-F238E27FC236}">
                <a16:creationId xmlns:a16="http://schemas.microsoft.com/office/drawing/2014/main" id="{DADBB1F2-61F9-30BE-F0BD-6131E573CB63}"/>
              </a:ext>
            </a:extLst>
          </xdr:cNvPr>
          <xdr:cNvSpPr/>
        </xdr:nvSpPr>
        <xdr:spPr>
          <a:xfrm>
            <a:off x="1466850" y="495300"/>
            <a:ext cx="466725" cy="34290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fld id="{D482EE56-AE76-4032-9259-8F555763855E}" type="TxLink">
              <a:rPr lang="en-US" sz="1600" b="0" i="0" u="none" strike="noStrike">
                <a:solidFill>
                  <a:srgbClr val="000000"/>
                </a:solidFill>
                <a:latin typeface="Aptos Narrow"/>
              </a:rPr>
              <a:pPr algn="l"/>
              <a:t>2</a:t>
            </a:fld>
            <a:endParaRPr lang="en-PK" sz="1600"/>
          </a:p>
        </xdr:txBody>
      </xdr:sp>
      <mc:AlternateContent xmlns:mc="http://schemas.openxmlformats.org/markup-compatibility/2006">
        <mc:Choice xmlns:a14="http://schemas.microsoft.com/office/drawing/2010/main" Requires="a14">
          <xdr:sp macro="" textlink="">
            <xdr:nvSpPr>
              <xdr:cNvPr id="1026" name="Spinner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1266825" y="504825"/>
                <a:ext cx="152400" cy="304800"/>
              </a:xfrm>
              <a:prstGeom prst="rect">
                <a:avLst/>
              </a:prstGeom>
              <a:noFill/>
              <a:ln w="9525">
                <a:miter lim="800000"/>
                <a:headEnd/>
                <a:tailEnd/>
              </a:ln>
            </xdr:spPr>
          </xdr:sp>
        </mc:Choice>
        <mc:Fallback/>
      </mc:AlternateContent>
    </xdr:grpSp>
    <xdr:clientData/>
  </xdr:twoCellAnchor>
  <xdr:twoCellAnchor>
    <xdr:from>
      <xdr:col>3</xdr:col>
      <xdr:colOff>761999</xdr:colOff>
      <xdr:row>1</xdr:row>
      <xdr:rowOff>142876</xdr:rowOff>
    </xdr:from>
    <xdr:to>
      <xdr:col>4</xdr:col>
      <xdr:colOff>1009650</xdr:colOff>
      <xdr:row>1</xdr:row>
      <xdr:rowOff>571500</xdr:rowOff>
    </xdr:to>
    <xdr:grpSp>
      <xdr:nvGrpSpPr>
        <xdr:cNvPr id="7" name="Group 6">
          <a:extLst>
            <a:ext uri="{FF2B5EF4-FFF2-40B4-BE49-F238E27FC236}">
              <a16:creationId xmlns:a16="http://schemas.microsoft.com/office/drawing/2014/main" id="{17BE1805-090C-1ED3-3E27-D1165CD879CD}"/>
            </a:ext>
          </a:extLst>
        </xdr:cNvPr>
        <xdr:cNvGrpSpPr/>
      </xdr:nvGrpSpPr>
      <xdr:grpSpPr>
        <a:xfrm>
          <a:off x="4413249" y="484189"/>
          <a:ext cx="1144589" cy="428624"/>
          <a:chOff x="847724" y="457201"/>
          <a:chExt cx="1143001" cy="428624"/>
        </a:xfrm>
      </xdr:grpSpPr>
      <xdr:pic macro="[0]!Hide_chart3">
        <xdr:nvPicPr>
          <xdr:cNvPr id="11" name="Graphic 10" descr="Eye with solid fill">
            <a:extLst>
              <a:ext uri="{FF2B5EF4-FFF2-40B4-BE49-F238E27FC236}">
                <a16:creationId xmlns:a16="http://schemas.microsoft.com/office/drawing/2014/main" id="{5D53B4E8-85EE-2A1D-C617-A0200639C67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847724" y="523874"/>
            <a:ext cx="323851" cy="323851"/>
          </a:xfrm>
          <a:prstGeom prst="rect">
            <a:avLst/>
          </a:prstGeom>
        </xdr:spPr>
      </xdr:pic>
      <xdr:sp macro="" textlink="">
        <xdr:nvSpPr>
          <xdr:cNvPr id="12" name="Rectangle: Rounded Corners 11">
            <a:extLst>
              <a:ext uri="{FF2B5EF4-FFF2-40B4-BE49-F238E27FC236}">
                <a16:creationId xmlns:a16="http://schemas.microsoft.com/office/drawing/2014/main" id="{C37C2A20-EEBA-17CA-3B33-76BA3C2BDE61}"/>
              </a:ext>
            </a:extLst>
          </xdr:cNvPr>
          <xdr:cNvSpPr/>
        </xdr:nvSpPr>
        <xdr:spPr>
          <a:xfrm>
            <a:off x="1219200" y="457201"/>
            <a:ext cx="771525" cy="428624"/>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PK" sz="1100"/>
          </a:p>
        </xdr:txBody>
      </xdr:sp>
      <xdr:sp macro="" textlink="$F$3">
        <xdr:nvSpPr>
          <xdr:cNvPr id="13" name="Rectangle 12">
            <a:extLst>
              <a:ext uri="{FF2B5EF4-FFF2-40B4-BE49-F238E27FC236}">
                <a16:creationId xmlns:a16="http://schemas.microsoft.com/office/drawing/2014/main" id="{702CEC61-134F-48F5-F761-ACBA6BB1BFEA}"/>
              </a:ext>
            </a:extLst>
          </xdr:cNvPr>
          <xdr:cNvSpPr/>
        </xdr:nvSpPr>
        <xdr:spPr>
          <a:xfrm>
            <a:off x="1466850" y="495300"/>
            <a:ext cx="466725" cy="34290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fld id="{6345C4A3-DA58-4BA4-BF8C-79886C264103}" type="TxLink">
              <a:rPr lang="en-US" sz="1600" b="0" i="0" u="none" strike="noStrike">
                <a:solidFill>
                  <a:srgbClr val="000000"/>
                </a:solidFill>
                <a:latin typeface="Aptos Narrow"/>
              </a:rPr>
              <a:pPr algn="l"/>
              <a:t>2</a:t>
            </a:fld>
            <a:endParaRPr lang="en-PK" sz="1600"/>
          </a:p>
        </xdr:txBody>
      </xdr:sp>
      <mc:AlternateContent xmlns:mc="http://schemas.openxmlformats.org/markup-compatibility/2006">
        <mc:Choice xmlns:a14="http://schemas.microsoft.com/office/drawing/2010/main" Requires="a14">
          <xdr:sp macro="" textlink="">
            <xdr:nvSpPr>
              <xdr:cNvPr id="1027" name="Spinner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1266825" y="504825"/>
                <a:ext cx="152400" cy="304800"/>
              </a:xfrm>
              <a:prstGeom prst="rect">
                <a:avLst/>
              </a:prstGeom>
              <a:noFill/>
              <a:ln w="9525">
                <a:miter lim="800000"/>
                <a:headEnd/>
                <a:tailEnd/>
              </a:ln>
            </xdr:spPr>
          </xdr:sp>
        </mc:Choice>
        <mc:Fallback/>
      </mc:AlternateContent>
    </xdr:grpSp>
    <xdr:clientData/>
  </xdr:twoCellAnchor>
  <xdr:twoCellAnchor>
    <xdr:from>
      <xdr:col>6</xdr:col>
      <xdr:colOff>952499</xdr:colOff>
      <xdr:row>1</xdr:row>
      <xdr:rowOff>152401</xdr:rowOff>
    </xdr:from>
    <xdr:to>
      <xdr:col>7</xdr:col>
      <xdr:colOff>1143000</xdr:colOff>
      <xdr:row>1</xdr:row>
      <xdr:rowOff>581025</xdr:rowOff>
    </xdr:to>
    <xdr:grpSp>
      <xdr:nvGrpSpPr>
        <xdr:cNvPr id="14" name="Group 13">
          <a:extLst>
            <a:ext uri="{FF2B5EF4-FFF2-40B4-BE49-F238E27FC236}">
              <a16:creationId xmlns:a16="http://schemas.microsoft.com/office/drawing/2014/main" id="{AD201078-B92E-1809-C231-015A2975467E}"/>
            </a:ext>
          </a:extLst>
        </xdr:cNvPr>
        <xdr:cNvGrpSpPr/>
      </xdr:nvGrpSpPr>
      <xdr:grpSpPr>
        <a:xfrm>
          <a:off x="8334374" y="493714"/>
          <a:ext cx="1143001" cy="428624"/>
          <a:chOff x="847724" y="457201"/>
          <a:chExt cx="1143001" cy="428624"/>
        </a:xfrm>
      </xdr:grpSpPr>
      <xdr:pic macro="[0]!Hide_chart4">
        <xdr:nvPicPr>
          <xdr:cNvPr id="20" name="Graphic 19" descr="Eye with solid fill">
            <a:extLst>
              <a:ext uri="{FF2B5EF4-FFF2-40B4-BE49-F238E27FC236}">
                <a16:creationId xmlns:a16="http://schemas.microsoft.com/office/drawing/2014/main" id="{3617D895-77A5-525F-FB62-17430592AE17}"/>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847724" y="523874"/>
            <a:ext cx="323851" cy="323851"/>
          </a:xfrm>
          <a:prstGeom prst="rect">
            <a:avLst/>
          </a:prstGeom>
        </xdr:spPr>
      </xdr:pic>
      <xdr:sp macro="" textlink="">
        <xdr:nvSpPr>
          <xdr:cNvPr id="22" name="Rectangle: Rounded Corners 21">
            <a:extLst>
              <a:ext uri="{FF2B5EF4-FFF2-40B4-BE49-F238E27FC236}">
                <a16:creationId xmlns:a16="http://schemas.microsoft.com/office/drawing/2014/main" id="{19BF6DD1-5230-DEA6-5AF8-A3D513024838}"/>
              </a:ext>
            </a:extLst>
          </xdr:cNvPr>
          <xdr:cNvSpPr/>
        </xdr:nvSpPr>
        <xdr:spPr>
          <a:xfrm>
            <a:off x="1219200" y="457201"/>
            <a:ext cx="771525" cy="428624"/>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PK" sz="1100"/>
          </a:p>
        </xdr:txBody>
      </xdr:sp>
      <xdr:sp macro="" textlink="$F$4">
        <xdr:nvSpPr>
          <xdr:cNvPr id="26" name="Rectangle 25">
            <a:extLst>
              <a:ext uri="{FF2B5EF4-FFF2-40B4-BE49-F238E27FC236}">
                <a16:creationId xmlns:a16="http://schemas.microsoft.com/office/drawing/2014/main" id="{4B01CEC9-FFD3-44CF-57E6-CD2D54B0848B}"/>
              </a:ext>
            </a:extLst>
          </xdr:cNvPr>
          <xdr:cNvSpPr/>
        </xdr:nvSpPr>
        <xdr:spPr>
          <a:xfrm>
            <a:off x="1466850" y="495300"/>
            <a:ext cx="466725" cy="34290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fld id="{B1317219-F53B-4163-B218-E41F335C44BC}" type="TxLink">
              <a:rPr lang="en-US" sz="1600" b="0" i="0" u="none" strike="noStrike">
                <a:solidFill>
                  <a:srgbClr val="000000"/>
                </a:solidFill>
                <a:latin typeface="Aptos Narrow"/>
              </a:rPr>
              <a:pPr algn="l"/>
              <a:t>3</a:t>
            </a:fld>
            <a:endParaRPr lang="en-PK" sz="1600"/>
          </a:p>
        </xdr:txBody>
      </xdr:sp>
      <mc:AlternateContent xmlns:mc="http://schemas.openxmlformats.org/markup-compatibility/2006">
        <mc:Choice xmlns:a14="http://schemas.microsoft.com/office/drawing/2010/main" Requires="a14">
          <xdr:sp macro="" textlink="">
            <xdr:nvSpPr>
              <xdr:cNvPr id="1028" name="Spinner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1266825" y="504825"/>
                <a:ext cx="152400" cy="304800"/>
              </a:xfrm>
              <a:prstGeom prst="rect">
                <a:avLst/>
              </a:prstGeom>
              <a:noFill/>
              <a:ln w="9525">
                <a:miter lim="800000"/>
                <a:headEnd/>
                <a:tailEnd/>
              </a:ln>
            </xdr:spPr>
          </xdr:sp>
        </mc:Choice>
        <mc:Fallback/>
      </mc:AlternateContent>
    </xdr:grpSp>
    <xdr:clientData/>
  </xdr:twoCellAnchor>
  <xdr:twoCellAnchor editAs="oneCell">
    <xdr:from>
      <xdr:col>3</xdr:col>
      <xdr:colOff>781049</xdr:colOff>
      <xdr:row>1</xdr:row>
      <xdr:rowOff>247647</xdr:rowOff>
    </xdr:from>
    <xdr:to>
      <xdr:col>4</xdr:col>
      <xdr:colOff>171450</xdr:colOff>
      <xdr:row>1</xdr:row>
      <xdr:rowOff>533398</xdr:rowOff>
    </xdr:to>
    <xdr:pic macro="[0]!Show_chart3">
      <xdr:nvPicPr>
        <xdr:cNvPr id="27" name="Graphic 26" descr="Eye Scan with solid fill" hidden="1">
          <a:extLst>
            <a:ext uri="{FF2B5EF4-FFF2-40B4-BE49-F238E27FC236}">
              <a16:creationId xmlns:a16="http://schemas.microsoft.com/office/drawing/2014/main" id="{1CE712E8-C265-AB7D-AAB2-B7A0767460E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4429124" y="590547"/>
          <a:ext cx="285751" cy="285751"/>
        </a:xfrm>
        <a:prstGeom prst="rect">
          <a:avLst/>
        </a:prstGeom>
      </xdr:spPr>
    </xdr:pic>
    <xdr:clientData/>
  </xdr:twoCellAnchor>
  <xdr:twoCellAnchor editAs="oneCell">
    <xdr:from>
      <xdr:col>7</xdr:col>
      <xdr:colOff>19049</xdr:colOff>
      <xdr:row>1</xdr:row>
      <xdr:rowOff>238122</xdr:rowOff>
    </xdr:from>
    <xdr:to>
      <xdr:col>7</xdr:col>
      <xdr:colOff>304800</xdr:colOff>
      <xdr:row>1</xdr:row>
      <xdr:rowOff>523873</xdr:rowOff>
    </xdr:to>
    <xdr:pic macro="[0]!Show_chart4">
      <xdr:nvPicPr>
        <xdr:cNvPr id="29" name="Graphic 28" descr="Eye Scan with solid fill" hidden="1">
          <a:extLst>
            <a:ext uri="{FF2B5EF4-FFF2-40B4-BE49-F238E27FC236}">
              <a16:creationId xmlns:a16="http://schemas.microsoft.com/office/drawing/2014/main" id="{88455857-85CE-BC9A-3AFE-78C0228B81E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8343899" y="581022"/>
          <a:ext cx="285751" cy="285751"/>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ms" refreshedDate="45788.327256944445" missingItemsLimit="0" createdVersion="8" refreshedVersion="8" minRefreshableVersion="3" recordCount="42" xr:uid="{29433A58-66C9-4730-BEEA-29635CC63B55}">
  <cacheSource type="worksheet">
    <worksheetSource name="dynamic_epd"/>
  </cacheSource>
  <cacheFields count="8">
    <cacheField name="ID" numFmtId="0">
      <sharedItems/>
    </cacheField>
    <cacheField name="Date" numFmtId="0">
      <sharedItems containsSemiMixedTypes="0" containsString="0" containsNumber="1" containsInteger="1" minValue="44592" maxValue="44632"/>
    </cacheField>
    <cacheField name="month" numFmtId="0">
      <sharedItems count="3">
        <s v="Mar"/>
        <s v="Feb"/>
        <s v="Jan"/>
      </sharedItems>
    </cacheField>
    <cacheField name="Salesperson" numFmtId="0">
      <sharedItems count="9">
        <s v="Emma"/>
        <s v="Emily"/>
        <s v="John"/>
        <s v="Sophia"/>
        <s v="Jane"/>
        <s v="Michael"/>
        <s v="Ali"/>
        <s v="Mike"/>
        <s v="ahmad"/>
      </sharedItems>
    </cacheField>
    <cacheField name="Region" numFmtId="0">
      <sharedItems count="5">
        <s v="West"/>
        <s v="North"/>
        <s v="South"/>
        <s v="East"/>
        <s v="wewe"/>
      </sharedItems>
    </cacheField>
    <cacheField name="Product" numFmtId="0">
      <sharedItems count="4">
        <s v="Laptop"/>
        <s v="Tablet"/>
        <s v="Smartphone"/>
        <s v="telie"/>
      </sharedItems>
    </cacheField>
    <cacheField name="Sales Amount" numFmtId="0">
      <sharedItems containsSemiMixedTypes="0" containsString="0" containsNumber="1" containsInteger="1" minValue="480" maxValue="3456"/>
    </cacheField>
    <cacheField name="City" numFmtId="0">
      <sharedItems/>
    </cacheField>
  </cacheFields>
  <extLst>
    <ext xmlns:x14="http://schemas.microsoft.com/office/spreadsheetml/2009/9/main" uri="{725AE2AE-9491-48be-B2B4-4EB974FC3084}">
      <x14:pivotCacheDefinition pivotCacheId="173179621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
  <r>
    <s v="Y155"/>
    <n v="44627"/>
    <x v="0"/>
    <x v="0"/>
    <x v="0"/>
    <x v="0"/>
    <n v="1850"/>
    <s v="Kansas City"/>
  </r>
  <r>
    <s v="Q102"/>
    <n v="44623"/>
    <x v="0"/>
    <x v="1"/>
    <x v="0"/>
    <x v="0"/>
    <n v="1800"/>
    <s v="Albuquerque"/>
  </r>
  <r>
    <s v="S129"/>
    <n v="44603"/>
    <x v="1"/>
    <x v="0"/>
    <x v="0"/>
    <x v="0"/>
    <n v="1750"/>
    <s v="Jacksonville"/>
  </r>
  <r>
    <s v="R114"/>
    <n v="44595"/>
    <x v="1"/>
    <x v="0"/>
    <x v="0"/>
    <x v="0"/>
    <n v="1700"/>
    <s v="Houston"/>
  </r>
  <r>
    <s v="F197"/>
    <n v="44615"/>
    <x v="1"/>
    <x v="1"/>
    <x v="0"/>
    <x v="0"/>
    <n v="1690"/>
    <s v="Detroit"/>
  </r>
  <r>
    <s v="J101"/>
    <n v="44620"/>
    <x v="1"/>
    <x v="2"/>
    <x v="1"/>
    <x v="0"/>
    <n v="1500"/>
    <s v="Louisville"/>
  </r>
  <r>
    <s v="V112"/>
    <n v="44604"/>
    <x v="1"/>
    <x v="2"/>
    <x v="1"/>
    <x v="0"/>
    <n v="1450"/>
    <s v="Fort Worth"/>
  </r>
  <r>
    <s v="I199"/>
    <n v="44625"/>
    <x v="0"/>
    <x v="3"/>
    <x v="2"/>
    <x v="0"/>
    <n v="1450"/>
    <s v="Fresno"/>
  </r>
  <r>
    <s v="A167"/>
    <n v="44629"/>
    <x v="0"/>
    <x v="4"/>
    <x v="2"/>
    <x v="0"/>
    <n v="1420"/>
    <s v="Atlanta"/>
  </r>
  <r>
    <s v="P159"/>
    <n v="44609"/>
    <x v="1"/>
    <x v="3"/>
    <x v="2"/>
    <x v="0"/>
    <n v="1400"/>
    <s v="Seattle"/>
  </r>
  <r>
    <s v="G178"/>
    <n v="44613"/>
    <x v="1"/>
    <x v="4"/>
    <x v="2"/>
    <x v="0"/>
    <n v="1380"/>
    <s v="El Paso"/>
  </r>
  <r>
    <s v="R182"/>
    <n v="44597"/>
    <x v="1"/>
    <x v="4"/>
    <x v="2"/>
    <x v="0"/>
    <n v="1350"/>
    <s v="Phoenix"/>
  </r>
  <r>
    <s v="D135"/>
    <n v="44618"/>
    <x v="1"/>
    <x v="5"/>
    <x v="3"/>
    <x v="0"/>
    <n v="1300"/>
    <s v="Oklahoma City"/>
  </r>
  <r>
    <s v="A141"/>
    <n v="44632"/>
    <x v="0"/>
    <x v="6"/>
    <x v="1"/>
    <x v="0"/>
    <n v="1280"/>
    <s v="Miami"/>
  </r>
  <r>
    <s v="J143"/>
    <n v="44606"/>
    <x v="1"/>
    <x v="7"/>
    <x v="3"/>
    <x v="0"/>
    <n v="1250"/>
    <s v="Charlotte"/>
  </r>
  <r>
    <s v="A163"/>
    <n v="44600"/>
    <x v="1"/>
    <x v="6"/>
    <x v="1"/>
    <x v="0"/>
    <n v="1200"/>
    <s v="Dallas"/>
  </r>
  <r>
    <s v="N191"/>
    <n v="44610"/>
    <x v="1"/>
    <x v="5"/>
    <x v="3"/>
    <x v="1"/>
    <n v="1150"/>
    <s v="Denver"/>
  </r>
  <r>
    <s v="Y154"/>
    <n v="44592"/>
    <x v="2"/>
    <x v="6"/>
    <x v="1"/>
    <x v="0"/>
    <n v="1100"/>
    <s v="New York"/>
  </r>
  <r>
    <s v="M135"/>
    <n v="44602"/>
    <x v="1"/>
    <x v="5"/>
    <x v="3"/>
    <x v="1"/>
    <n v="1100"/>
    <s v="Austin"/>
  </r>
  <r>
    <s v="C159"/>
    <n v="44621"/>
    <x v="0"/>
    <x v="4"/>
    <x v="2"/>
    <x v="1"/>
    <n v="1100"/>
    <s v="Baltimore"/>
  </r>
  <r>
    <s v="B121"/>
    <n v="44630"/>
    <x v="0"/>
    <x v="7"/>
    <x v="3"/>
    <x v="1"/>
    <n v="1080"/>
    <s v="Omaha"/>
  </r>
  <r>
    <s v="Q151"/>
    <n v="44598"/>
    <x v="1"/>
    <x v="7"/>
    <x v="3"/>
    <x v="1"/>
    <n v="1050"/>
    <s v="San Antonio"/>
  </r>
  <r>
    <s v="M188"/>
    <n v="44617"/>
    <x v="1"/>
    <x v="3"/>
    <x v="2"/>
    <x v="1"/>
    <n v="1020"/>
    <s v="Portland"/>
  </r>
  <r>
    <s v="R130"/>
    <n v="44624"/>
    <x v="0"/>
    <x v="6"/>
    <x v="1"/>
    <x v="1"/>
    <n v="990"/>
    <s v="Tucson"/>
  </r>
  <r>
    <s v="P150"/>
    <n v="44607"/>
    <x v="1"/>
    <x v="1"/>
    <x v="0"/>
    <x v="1"/>
    <n v="980"/>
    <s v="San Francisco"/>
  </r>
  <r>
    <s v="O194"/>
    <n v="44593"/>
    <x v="1"/>
    <x v="3"/>
    <x v="2"/>
    <x v="1"/>
    <n v="950"/>
    <s v="Los Angeles"/>
  </r>
  <r>
    <s v="C108"/>
    <n v="44616"/>
    <x v="1"/>
    <x v="6"/>
    <x v="1"/>
    <x v="2"/>
    <n v="950"/>
    <s v="Memphis"/>
  </r>
  <r>
    <s v="O117"/>
    <n v="44608"/>
    <x v="1"/>
    <x v="6"/>
    <x v="1"/>
    <x v="2"/>
    <n v="900"/>
    <s v="Indianapolis"/>
  </r>
  <r>
    <s v="C119"/>
    <n v="44612"/>
    <x v="1"/>
    <x v="2"/>
    <x v="1"/>
    <x v="1"/>
    <n v="880"/>
    <s v="Boston"/>
  </r>
  <r>
    <s v="O182"/>
    <n v="44628"/>
    <x v="0"/>
    <x v="2"/>
    <x v="1"/>
    <x v="2"/>
    <n v="860"/>
    <s v="Mesa"/>
  </r>
  <r>
    <s v="X107"/>
    <n v="44596"/>
    <x v="1"/>
    <x v="2"/>
    <x v="1"/>
    <x v="2"/>
    <n v="820"/>
    <s v="Philadelphia"/>
  </r>
  <r>
    <s v="F106"/>
    <n v="44622"/>
    <x v="0"/>
    <x v="7"/>
    <x v="3"/>
    <x v="2"/>
    <n v="770"/>
    <s v="Milwaukee"/>
  </r>
  <r>
    <s v="E169"/>
    <n v="44594"/>
    <x v="1"/>
    <x v="5"/>
    <x v="3"/>
    <x v="2"/>
    <n v="750"/>
    <s v="Chicago"/>
  </r>
  <r>
    <s v="Z147"/>
    <n v="44614"/>
    <x v="1"/>
    <x v="7"/>
    <x v="3"/>
    <x v="2"/>
    <n v="720"/>
    <s v="Nashville"/>
  </r>
  <r>
    <s v="Y145"/>
    <n v="44601"/>
    <x v="1"/>
    <x v="3"/>
    <x v="2"/>
    <x v="2"/>
    <n v="700"/>
    <s v="San Jose"/>
  </r>
  <r>
    <s v="A133"/>
    <n v="44626"/>
    <x v="0"/>
    <x v="5"/>
    <x v="3"/>
    <x v="2"/>
    <n v="680"/>
    <s v="Sacramento"/>
  </r>
  <r>
    <s v="U107"/>
    <n v="44605"/>
    <x v="1"/>
    <x v="4"/>
    <x v="2"/>
    <x v="2"/>
    <n v="650"/>
    <s v="Columbus"/>
  </r>
  <r>
    <s v="V108"/>
    <n v="44631"/>
    <x v="0"/>
    <x v="1"/>
    <x v="0"/>
    <x v="2"/>
    <n v="620"/>
    <s v="Raleigh"/>
  </r>
  <r>
    <s v="C170"/>
    <n v="44599"/>
    <x v="1"/>
    <x v="1"/>
    <x v="0"/>
    <x v="2"/>
    <n v="600"/>
    <s v="San Diego"/>
  </r>
  <r>
    <s v="B191"/>
    <n v="44611"/>
    <x v="1"/>
    <x v="0"/>
    <x v="0"/>
    <x v="2"/>
    <n v="550"/>
    <s v="Washington"/>
  </r>
  <r>
    <s v="N132"/>
    <n v="44619"/>
    <x v="1"/>
    <x v="0"/>
    <x v="0"/>
    <x v="2"/>
    <n v="480"/>
    <s v="Las Vegas"/>
  </r>
  <r>
    <s v="ER123"/>
    <n v="44620"/>
    <x v="1"/>
    <x v="8"/>
    <x v="4"/>
    <x v="3"/>
    <n v="3456"/>
    <s v="sahiw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1D0F2D5-10F3-4645-8783-F2C4D4B6E97F}"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5">
  <location ref="A3:B6" firstHeaderRow="1" firstDataRow="1" firstDataCol="1"/>
  <pivotFields count="8">
    <pivotField showAll="0"/>
    <pivotField numFmtId="14" showAll="0"/>
    <pivotField showAll="0">
      <items count="4">
        <item h="1" x="2"/>
        <item x="1"/>
        <item x="0"/>
        <item t="default"/>
      </items>
    </pivotField>
    <pivotField showAll="0"/>
    <pivotField axis="axisRow" showAll="0" measureFilter="1">
      <items count="6">
        <item x="3"/>
        <item x="1"/>
        <item x="2"/>
        <item x="0"/>
        <item x="4"/>
        <item t="default"/>
      </items>
    </pivotField>
    <pivotField showAll="0"/>
    <pivotField dataField="1" numFmtId="1" showAll="0"/>
    <pivotField showAll="0"/>
  </pivotFields>
  <rowFields count="1">
    <field x="4"/>
  </rowFields>
  <rowItems count="3">
    <i>
      <x v="2"/>
    </i>
    <i>
      <x v="3"/>
    </i>
    <i t="grand">
      <x/>
    </i>
  </rowItems>
  <colItems count="1">
    <i/>
  </colItems>
  <dataFields count="1">
    <dataField name="Sum of Sales Amount" fld="6" showDataAs="percentOfCol" baseField="0" baseItem="0" numFmtId="10"/>
  </dataFields>
  <formats count="6">
    <format dxfId="150">
      <pivotArea type="all" dataOnly="0" outline="0" fieldPosition="0"/>
    </format>
    <format dxfId="149">
      <pivotArea outline="0" collapsedLevelsAreSubtotals="1" fieldPosition="0"/>
    </format>
    <format dxfId="148">
      <pivotArea field="4" type="button" dataOnly="0" labelOnly="1" outline="0" axis="axisRow" fieldPosition="0"/>
    </format>
    <format dxfId="147">
      <pivotArea dataOnly="0" labelOnly="1" fieldPosition="0">
        <references count="1">
          <reference field="4" count="0"/>
        </references>
      </pivotArea>
    </format>
    <format dxfId="146">
      <pivotArea dataOnly="0" labelOnly="1" grandRow="1" outline="0" fieldPosition="0"/>
    </format>
    <format dxfId="145">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1"/>
          </reference>
        </references>
      </pivotArea>
    </chartFormat>
    <chartFormat chart="0" format="2">
      <pivotArea type="data" outline="0" fieldPosition="0">
        <references count="2">
          <reference field="4294967294" count="1" selected="0">
            <x v="0"/>
          </reference>
          <reference field="4" count="1" selected="0">
            <x v="2"/>
          </reference>
        </references>
      </pivotArea>
    </chartFormat>
    <chartFormat chart="0" format="3">
      <pivotArea type="data" outline="0" fieldPosition="0">
        <references count="2">
          <reference field="4294967294" count="1" selected="0">
            <x v="0"/>
          </reference>
          <reference field="4" count="1" selected="0">
            <x v="3"/>
          </reference>
        </references>
      </pivotArea>
    </chartFormat>
    <chartFormat chart="0" format="4">
      <pivotArea type="data" outline="0" fieldPosition="0">
        <references count="2">
          <reference field="4294967294" count="1" selected="0">
            <x v="0"/>
          </reference>
          <reference field="4" count="1" selected="0">
            <x v="0"/>
          </reference>
        </references>
      </pivotArea>
    </chartFormat>
    <chartFormat chart="0" format="5">
      <pivotArea type="data" outline="0" fieldPosition="0">
        <references count="2">
          <reference field="4294967294" count="1" selected="0">
            <x v="0"/>
          </reference>
          <reference field="4" count="1" selected="0">
            <x v="4"/>
          </reference>
        </references>
      </pivotArea>
    </chartFormat>
  </chartFormats>
  <pivotTableStyleInfo name="PivotStyleLight16" showRowHeaders="1" showColHeaders="1" showRowStripes="0" showColStripes="0" showLastColumn="1"/>
  <filters count="1">
    <filter fld="4" type="count" evalOrder="-1" id="74" iMeasureFld="0">
      <autoFilter ref="A1">
        <filterColumn colId="0">
          <top10 val="2" filterVal="2"/>
        </filterColumn>
      </autoFilter>
    </filter>
  </filters>
  <extLst>
    <ext xmlns:x14="http://schemas.microsoft.com/office/spreadsheetml/2009/9/main" uri="{962EF5D1-5CA2-4c93-8EF4-DBF5C05439D2}">
      <x14:pivotTableDefinition xmlns:xm="http://schemas.microsoft.com/office/excel/2006/main" altText="region-sale amount" altTextSummary="this is the total sale amount , region vise "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3EABE80-E87A-47CD-8A61-BDD3DCE132B8}" name="PivotTable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location ref="G3:H7" firstHeaderRow="1" firstDataRow="1" firstDataCol="1"/>
  <pivotFields count="8">
    <pivotField showAll="0"/>
    <pivotField numFmtId="14" showAll="0"/>
    <pivotField showAll="0">
      <items count="4">
        <item h="1" x="2"/>
        <item x="1"/>
        <item x="0"/>
        <item t="default"/>
      </items>
    </pivotField>
    <pivotField showAll="0" measureFilter="1"/>
    <pivotField showAll="0" measureFilter="1"/>
    <pivotField axis="axisRow" showAll="0" measureFilter="1">
      <items count="5">
        <item x="0"/>
        <item x="2"/>
        <item x="1"/>
        <item x="3"/>
        <item t="default"/>
      </items>
    </pivotField>
    <pivotField dataField="1" numFmtId="1" showAll="0"/>
    <pivotField showAll="0"/>
  </pivotFields>
  <rowFields count="1">
    <field x="5"/>
  </rowFields>
  <rowItems count="4">
    <i>
      <x/>
    </i>
    <i>
      <x v="1"/>
    </i>
    <i>
      <x v="2"/>
    </i>
    <i t="grand">
      <x/>
    </i>
  </rowItems>
  <colItems count="1">
    <i/>
  </colItems>
  <dataFields count="1">
    <dataField name="Sum of Sales Amount" fld="6" baseField="0" baseItem="0" numFmtId="1"/>
  </dataFields>
  <formats count="6">
    <format dxfId="156">
      <pivotArea type="all" dataOnly="0" outline="0" fieldPosition="0"/>
    </format>
    <format dxfId="155">
      <pivotArea outline="0" collapsedLevelsAreSubtotals="1" fieldPosition="0"/>
    </format>
    <format dxfId="154">
      <pivotArea field="5" type="button" dataOnly="0" labelOnly="1" outline="0" axis="axisRow" fieldPosition="0"/>
    </format>
    <format dxfId="153">
      <pivotArea dataOnly="0" labelOnly="1" fieldPosition="0">
        <references count="1">
          <reference field="5" count="0"/>
        </references>
      </pivotArea>
    </format>
    <format dxfId="152">
      <pivotArea dataOnly="0" labelOnly="1" grandRow="1" outline="0" fieldPosition="0"/>
    </format>
    <format dxfId="151">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3">
    <filter fld="3" type="count" evalOrder="-1" id="1" iMeasureFld="0">
      <autoFilter ref="A1">
        <filterColumn colId="0">
          <top10 val="3" filterVal="3"/>
        </filterColumn>
      </autoFilter>
    </filter>
    <filter fld="4" type="count" evalOrder="-1" id="9" iMeasureFld="0">
      <autoFilter ref="A1">
        <filterColumn colId="0">
          <top10 val="4" filterVal="4"/>
        </filterColumn>
      </autoFilter>
    </filter>
    <filter fld="5" type="count" evalOrder="-1" id="15"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214CCB3-DB9A-4B77-BC90-277A9E2ABFC0}"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
  <location ref="D3:E6" firstHeaderRow="1" firstDataRow="1" firstDataCol="1"/>
  <pivotFields count="8">
    <pivotField showAll="0"/>
    <pivotField numFmtId="14" showAll="0"/>
    <pivotField showAll="0">
      <items count="4">
        <item h="1" x="2"/>
        <item x="1"/>
        <item x="0"/>
        <item t="default"/>
      </items>
    </pivotField>
    <pivotField axis="axisRow" showAll="0" measureFilter="1">
      <items count="10">
        <item x="6"/>
        <item x="1"/>
        <item x="0"/>
        <item x="4"/>
        <item x="2"/>
        <item x="5"/>
        <item x="7"/>
        <item x="3"/>
        <item x="8"/>
        <item t="default"/>
      </items>
    </pivotField>
    <pivotField showAll="0"/>
    <pivotField showAll="0"/>
    <pivotField dataField="1" numFmtId="1" showAll="0"/>
    <pivotField showAll="0"/>
  </pivotFields>
  <rowFields count="1">
    <field x="3"/>
  </rowFields>
  <rowItems count="3">
    <i>
      <x v="2"/>
    </i>
    <i>
      <x v="3"/>
    </i>
    <i t="grand">
      <x/>
    </i>
  </rowItems>
  <colItems count="1">
    <i/>
  </colItems>
  <dataFields count="1">
    <dataField name="Sum of Sales Amount" fld="6" baseField="0" baseItem="0" numFmtId="1"/>
  </dataFields>
  <formats count="6">
    <format dxfId="162">
      <pivotArea type="all" dataOnly="0" outline="0" fieldPosition="0"/>
    </format>
    <format dxfId="161">
      <pivotArea outline="0" collapsedLevelsAreSubtotals="1" fieldPosition="0"/>
    </format>
    <format dxfId="160">
      <pivotArea field="3" type="button" dataOnly="0" labelOnly="1" outline="0" axis="axisRow" fieldPosition="0"/>
    </format>
    <format dxfId="159">
      <pivotArea dataOnly="0" labelOnly="1" fieldPosition="0">
        <references count="1">
          <reference field="3" count="3">
            <x v="0"/>
            <x v="2"/>
            <x v="3"/>
          </reference>
        </references>
      </pivotArea>
    </format>
    <format dxfId="158">
      <pivotArea dataOnly="0" labelOnly="1" grandRow="1" outline="0" fieldPosition="0"/>
    </format>
    <format dxfId="157">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10" iMeasureFld="0">
      <autoFilter ref="A1">
        <filterColumn colId="0">
          <top10 val="2" filterVal="2"/>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BD71DB94-2906-444A-93D8-8E2E89568FB9}" sourceName="month">
  <pivotTables>
    <pivotTable tabId="4" name="PivotTable3"/>
    <pivotTable tabId="4" name="PivotTable1"/>
    <pivotTable tabId="4" name="PivotTable2"/>
  </pivotTables>
  <data>
    <tabular pivotCacheId="1731796217">
      <items count="3">
        <i x="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A31C54FD-E2B1-402F-960E-98C351D298C8}" cache="Slicer_month" caption="month" showCaption="0"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ivotTable" Target="../pivotTables/pivotTable3.xml"/><Relationship Id="rId7" Type="http://schemas.openxmlformats.org/officeDocument/2006/relationships/ctrlProp" Target="../ctrlProps/ctrlProp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87B715-9569-4C9B-B18A-ED3BB669DDC2}">
  <sheetPr codeName="Sheet3"/>
  <dimension ref="A1:A23"/>
  <sheetViews>
    <sheetView showGridLines="0" workbookViewId="0">
      <selection activeCell="B4" sqref="B4"/>
    </sheetView>
  </sheetViews>
  <sheetFormatPr defaultRowHeight="15" x14ac:dyDescent="0.25"/>
  <sheetData>
    <row r="1" spans="1:1" x14ac:dyDescent="0.25">
      <c r="A1" t="s">
        <v>0</v>
      </c>
    </row>
    <row r="2" spans="1:1" x14ac:dyDescent="0.25">
      <c r="A2" t="s">
        <v>1</v>
      </c>
    </row>
    <row r="3" spans="1:1" x14ac:dyDescent="0.25">
      <c r="A3" t="s">
        <v>2</v>
      </c>
    </row>
    <row r="4" spans="1:1" x14ac:dyDescent="0.25">
      <c r="A4" t="s">
        <v>3</v>
      </c>
    </row>
    <row r="5" spans="1:1" x14ac:dyDescent="0.25">
      <c r="A5" t="s">
        <v>4</v>
      </c>
    </row>
    <row r="6" spans="1:1" x14ac:dyDescent="0.25">
      <c r="A6" t="s">
        <v>5</v>
      </c>
    </row>
    <row r="7" spans="1:1" x14ac:dyDescent="0.25">
      <c r="A7" t="s">
        <v>6</v>
      </c>
    </row>
    <row r="8" spans="1:1" x14ac:dyDescent="0.25">
      <c r="A8" t="s">
        <v>7</v>
      </c>
    </row>
    <row r="9" spans="1:1" x14ac:dyDescent="0.25">
      <c r="A9" t="s">
        <v>8</v>
      </c>
    </row>
    <row r="10" spans="1:1" x14ac:dyDescent="0.25">
      <c r="A10" t="s">
        <v>9</v>
      </c>
    </row>
    <row r="11" spans="1:1" x14ac:dyDescent="0.25">
      <c r="A11" t="s">
        <v>10</v>
      </c>
    </row>
    <row r="12" spans="1:1" x14ac:dyDescent="0.25">
      <c r="A12" t="s">
        <v>11</v>
      </c>
    </row>
    <row r="13" spans="1:1" x14ac:dyDescent="0.25">
      <c r="A13" t="s">
        <v>12</v>
      </c>
    </row>
    <row r="15" spans="1:1" x14ac:dyDescent="0.25">
      <c r="A15" t="s">
        <v>13</v>
      </c>
    </row>
    <row r="16" spans="1:1" x14ac:dyDescent="0.25">
      <c r="A16" t="s">
        <v>14</v>
      </c>
    </row>
    <row r="17" spans="1:1" x14ac:dyDescent="0.25">
      <c r="A17" t="s">
        <v>15</v>
      </c>
    </row>
    <row r="18" spans="1:1" x14ac:dyDescent="0.25">
      <c r="A18" t="s">
        <v>16</v>
      </c>
    </row>
    <row r="19" spans="1:1" x14ac:dyDescent="0.25">
      <c r="A19" t="s">
        <v>17</v>
      </c>
    </row>
    <row r="21" spans="1:1" x14ac:dyDescent="0.25">
      <c r="A21" t="s">
        <v>18</v>
      </c>
    </row>
    <row r="22" spans="1:1" x14ac:dyDescent="0.25">
      <c r="A22" t="s">
        <v>19</v>
      </c>
    </row>
    <row r="23" spans="1:1" x14ac:dyDescent="0.25">
      <c r="A23" t="s">
        <v>20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21D60-25FA-4AC9-AEF7-FF05AAD7D0F8}">
  <sheetPr codeName="Sheet1"/>
  <dimension ref="A1:G52"/>
  <sheetViews>
    <sheetView workbookViewId="0">
      <selection activeCell="I14" sqref="I14"/>
    </sheetView>
  </sheetViews>
  <sheetFormatPr defaultRowHeight="15" x14ac:dyDescent="0.25"/>
  <cols>
    <col min="2" max="2" width="10.42578125" style="5" bestFit="1" customWidth="1"/>
    <col min="3" max="3" width="11.85546875" bestFit="1" customWidth="1"/>
    <col min="4" max="4" width="7" bestFit="1" customWidth="1"/>
    <col min="5" max="5" width="11.7109375" bestFit="1" customWidth="1"/>
    <col min="6" max="6" width="13.140625" bestFit="1" customWidth="1"/>
    <col min="7" max="7" width="14" bestFit="1" customWidth="1"/>
  </cols>
  <sheetData>
    <row r="1" spans="1:7" x14ac:dyDescent="0.25">
      <c r="A1" s="1" t="s">
        <v>95</v>
      </c>
      <c r="B1" s="4" t="s">
        <v>25</v>
      </c>
      <c r="C1" s="3" t="s">
        <v>21</v>
      </c>
      <c r="D1" s="3" t="s">
        <v>22</v>
      </c>
      <c r="E1" s="3" t="s">
        <v>23</v>
      </c>
      <c r="F1" s="3" t="s">
        <v>24</v>
      </c>
      <c r="G1" s="3" t="s">
        <v>40</v>
      </c>
    </row>
    <row r="2" spans="1:7" x14ac:dyDescent="0.25">
      <c r="A2" s="1" t="s">
        <v>96</v>
      </c>
      <c r="B2" s="2">
        <v>44592</v>
      </c>
      <c r="C2" s="1" t="s">
        <v>91</v>
      </c>
      <c r="D2" s="1" t="s">
        <v>26</v>
      </c>
      <c r="E2" s="1" t="s">
        <v>27</v>
      </c>
      <c r="F2" s="1">
        <v>1100</v>
      </c>
      <c r="G2" s="1" t="s">
        <v>41</v>
      </c>
    </row>
    <row r="3" spans="1:7" x14ac:dyDescent="0.25">
      <c r="A3" s="1" t="s">
        <v>97</v>
      </c>
      <c r="B3" s="2">
        <v>44593</v>
      </c>
      <c r="C3" s="1" t="s">
        <v>28</v>
      </c>
      <c r="D3" s="1" t="s">
        <v>29</v>
      </c>
      <c r="E3" s="1" t="s">
        <v>30</v>
      </c>
      <c r="F3" s="1">
        <v>950</v>
      </c>
      <c r="G3" s="1" t="s">
        <v>42</v>
      </c>
    </row>
    <row r="4" spans="1:7" x14ac:dyDescent="0.25">
      <c r="A4" s="1" t="s">
        <v>98</v>
      </c>
      <c r="B4" s="2">
        <v>44594</v>
      </c>
      <c r="C4" s="1" t="s">
        <v>31</v>
      </c>
      <c r="D4" s="1" t="s">
        <v>32</v>
      </c>
      <c r="E4" s="1" t="s">
        <v>33</v>
      </c>
      <c r="F4" s="1">
        <v>750</v>
      </c>
      <c r="G4" s="1" t="s">
        <v>43</v>
      </c>
    </row>
    <row r="5" spans="1:7" x14ac:dyDescent="0.25">
      <c r="A5" s="1" t="s">
        <v>99</v>
      </c>
      <c r="B5" s="2">
        <v>44595</v>
      </c>
      <c r="C5" s="1" t="s">
        <v>34</v>
      </c>
      <c r="D5" s="1" t="s">
        <v>35</v>
      </c>
      <c r="E5" s="1" t="s">
        <v>27</v>
      </c>
      <c r="F5" s="1">
        <v>1700</v>
      </c>
      <c r="G5" s="1" t="s">
        <v>44</v>
      </c>
    </row>
    <row r="6" spans="1:7" x14ac:dyDescent="0.25">
      <c r="A6" s="1" t="s">
        <v>100</v>
      </c>
      <c r="B6" s="2">
        <v>44596</v>
      </c>
      <c r="C6" s="1" t="s">
        <v>36</v>
      </c>
      <c r="D6" s="1" t="s">
        <v>26</v>
      </c>
      <c r="E6" s="1" t="s">
        <v>33</v>
      </c>
      <c r="F6" s="1">
        <v>820</v>
      </c>
      <c r="G6" s="1" t="s">
        <v>45</v>
      </c>
    </row>
    <row r="7" spans="1:7" x14ac:dyDescent="0.25">
      <c r="A7" s="1" t="s">
        <v>101</v>
      </c>
      <c r="B7" s="2">
        <v>44597</v>
      </c>
      <c r="C7" s="1" t="s">
        <v>37</v>
      </c>
      <c r="D7" s="1" t="s">
        <v>29</v>
      </c>
      <c r="E7" s="1" t="s">
        <v>27</v>
      </c>
      <c r="F7" s="1">
        <v>1350</v>
      </c>
      <c r="G7" s="1" t="s">
        <v>46</v>
      </c>
    </row>
    <row r="8" spans="1:7" x14ac:dyDescent="0.25">
      <c r="A8" s="1" t="s">
        <v>102</v>
      </c>
      <c r="B8" s="2">
        <v>44598</v>
      </c>
      <c r="C8" s="1" t="s">
        <v>38</v>
      </c>
      <c r="D8" s="1" t="s">
        <v>32</v>
      </c>
      <c r="E8" s="1" t="s">
        <v>30</v>
      </c>
      <c r="F8" s="1">
        <v>1050</v>
      </c>
      <c r="G8" s="1" t="s">
        <v>47</v>
      </c>
    </row>
    <row r="9" spans="1:7" x14ac:dyDescent="0.25">
      <c r="A9" s="1" t="s">
        <v>103</v>
      </c>
      <c r="B9" s="2">
        <v>44599</v>
      </c>
      <c r="C9" s="1" t="s">
        <v>39</v>
      </c>
      <c r="D9" s="1" t="s">
        <v>35</v>
      </c>
      <c r="E9" s="1" t="s">
        <v>33</v>
      </c>
      <c r="F9" s="1">
        <v>600</v>
      </c>
      <c r="G9" s="1" t="s">
        <v>48</v>
      </c>
    </row>
    <row r="10" spans="1:7" x14ac:dyDescent="0.25">
      <c r="A10" s="1" t="s">
        <v>104</v>
      </c>
      <c r="B10" s="2">
        <v>44600</v>
      </c>
      <c r="C10" s="1" t="s">
        <v>91</v>
      </c>
      <c r="D10" s="1" t="s">
        <v>26</v>
      </c>
      <c r="E10" s="1" t="s">
        <v>27</v>
      </c>
      <c r="F10" s="1">
        <v>1200</v>
      </c>
      <c r="G10" s="1" t="s">
        <v>49</v>
      </c>
    </row>
    <row r="11" spans="1:7" x14ac:dyDescent="0.25">
      <c r="A11" s="1" t="s">
        <v>105</v>
      </c>
      <c r="B11" s="2">
        <v>44601</v>
      </c>
      <c r="C11" s="1" t="s">
        <v>28</v>
      </c>
      <c r="D11" s="1" t="s">
        <v>29</v>
      </c>
      <c r="E11" s="1" t="s">
        <v>33</v>
      </c>
      <c r="F11" s="1">
        <v>700</v>
      </c>
      <c r="G11" s="1" t="s">
        <v>50</v>
      </c>
    </row>
    <row r="12" spans="1:7" x14ac:dyDescent="0.25">
      <c r="A12" s="1" t="s">
        <v>106</v>
      </c>
      <c r="B12" s="2">
        <v>44602</v>
      </c>
      <c r="C12" s="1" t="s">
        <v>31</v>
      </c>
      <c r="D12" s="1" t="s">
        <v>32</v>
      </c>
      <c r="E12" s="1" t="s">
        <v>30</v>
      </c>
      <c r="F12" s="1">
        <v>1100</v>
      </c>
      <c r="G12" s="1" t="s">
        <v>51</v>
      </c>
    </row>
    <row r="13" spans="1:7" x14ac:dyDescent="0.25">
      <c r="A13" s="1" t="s">
        <v>107</v>
      </c>
      <c r="B13" s="2">
        <v>44603</v>
      </c>
      <c r="C13" s="1" t="s">
        <v>34</v>
      </c>
      <c r="D13" s="1" t="s">
        <v>35</v>
      </c>
      <c r="E13" s="1" t="s">
        <v>27</v>
      </c>
      <c r="F13" s="1">
        <v>1750</v>
      </c>
      <c r="G13" s="1" t="s">
        <v>52</v>
      </c>
    </row>
    <row r="14" spans="1:7" x14ac:dyDescent="0.25">
      <c r="A14" s="1" t="s">
        <v>108</v>
      </c>
      <c r="B14" s="2">
        <v>44604</v>
      </c>
      <c r="C14" s="1" t="s">
        <v>36</v>
      </c>
      <c r="D14" s="1" t="s">
        <v>26</v>
      </c>
      <c r="E14" s="1" t="s">
        <v>27</v>
      </c>
      <c r="F14" s="1">
        <v>1450</v>
      </c>
      <c r="G14" s="1" t="s">
        <v>53</v>
      </c>
    </row>
    <row r="15" spans="1:7" x14ac:dyDescent="0.25">
      <c r="A15" s="1" t="s">
        <v>109</v>
      </c>
      <c r="B15" s="2">
        <v>44605</v>
      </c>
      <c r="C15" s="1" t="s">
        <v>37</v>
      </c>
      <c r="D15" s="1" t="s">
        <v>29</v>
      </c>
      <c r="E15" s="1" t="s">
        <v>33</v>
      </c>
      <c r="F15" s="1">
        <v>650</v>
      </c>
      <c r="G15" s="1" t="s">
        <v>54</v>
      </c>
    </row>
    <row r="16" spans="1:7" x14ac:dyDescent="0.25">
      <c r="A16" s="1" t="s">
        <v>110</v>
      </c>
      <c r="B16" s="2">
        <v>44606</v>
      </c>
      <c r="C16" s="1" t="s">
        <v>38</v>
      </c>
      <c r="D16" s="1" t="s">
        <v>32</v>
      </c>
      <c r="E16" s="1" t="s">
        <v>27</v>
      </c>
      <c r="F16" s="1">
        <v>1250</v>
      </c>
      <c r="G16" s="1" t="s">
        <v>55</v>
      </c>
    </row>
    <row r="17" spans="1:7" x14ac:dyDescent="0.25">
      <c r="A17" s="1" t="s">
        <v>111</v>
      </c>
      <c r="B17" s="2">
        <v>44607</v>
      </c>
      <c r="C17" s="1" t="s">
        <v>39</v>
      </c>
      <c r="D17" s="1" t="s">
        <v>35</v>
      </c>
      <c r="E17" s="1" t="s">
        <v>30</v>
      </c>
      <c r="F17" s="1">
        <v>980</v>
      </c>
      <c r="G17" s="1" t="s">
        <v>56</v>
      </c>
    </row>
    <row r="18" spans="1:7" x14ac:dyDescent="0.25">
      <c r="A18" s="1" t="s">
        <v>112</v>
      </c>
      <c r="B18" s="2">
        <v>44608</v>
      </c>
      <c r="C18" s="1" t="s">
        <v>91</v>
      </c>
      <c r="D18" s="1" t="s">
        <v>26</v>
      </c>
      <c r="E18" s="1" t="s">
        <v>33</v>
      </c>
      <c r="F18" s="1">
        <v>900</v>
      </c>
      <c r="G18" s="1" t="s">
        <v>57</v>
      </c>
    </row>
    <row r="19" spans="1:7" x14ac:dyDescent="0.25">
      <c r="A19" s="1" t="s">
        <v>113</v>
      </c>
      <c r="B19" s="2">
        <v>44609</v>
      </c>
      <c r="C19" s="1" t="s">
        <v>28</v>
      </c>
      <c r="D19" s="1" t="s">
        <v>29</v>
      </c>
      <c r="E19" s="1" t="s">
        <v>27</v>
      </c>
      <c r="F19" s="1">
        <v>1400</v>
      </c>
      <c r="G19" s="1" t="s">
        <v>58</v>
      </c>
    </row>
    <row r="20" spans="1:7" x14ac:dyDescent="0.25">
      <c r="A20" s="1" t="s">
        <v>114</v>
      </c>
      <c r="B20" s="2">
        <v>44610</v>
      </c>
      <c r="C20" s="1" t="s">
        <v>31</v>
      </c>
      <c r="D20" s="1" t="s">
        <v>32</v>
      </c>
      <c r="E20" s="1" t="s">
        <v>30</v>
      </c>
      <c r="F20" s="1">
        <v>1150</v>
      </c>
      <c r="G20" s="1" t="s">
        <v>59</v>
      </c>
    </row>
    <row r="21" spans="1:7" x14ac:dyDescent="0.25">
      <c r="A21" s="1" t="s">
        <v>115</v>
      </c>
      <c r="B21" s="2">
        <v>44611</v>
      </c>
      <c r="C21" s="1" t="s">
        <v>34</v>
      </c>
      <c r="D21" s="1" t="s">
        <v>35</v>
      </c>
      <c r="E21" s="1" t="s">
        <v>33</v>
      </c>
      <c r="F21" s="1">
        <v>550</v>
      </c>
      <c r="G21" s="1" t="s">
        <v>60</v>
      </c>
    </row>
    <row r="22" spans="1:7" x14ac:dyDescent="0.25">
      <c r="A22" s="1" t="s">
        <v>116</v>
      </c>
      <c r="B22" s="2">
        <v>44612</v>
      </c>
      <c r="C22" s="1" t="s">
        <v>36</v>
      </c>
      <c r="D22" s="1" t="s">
        <v>26</v>
      </c>
      <c r="E22" s="1" t="s">
        <v>30</v>
      </c>
      <c r="F22" s="1">
        <v>880</v>
      </c>
      <c r="G22" s="1" t="s">
        <v>61</v>
      </c>
    </row>
    <row r="23" spans="1:7" x14ac:dyDescent="0.25">
      <c r="A23" s="1" t="s">
        <v>117</v>
      </c>
      <c r="B23" s="2">
        <v>44613</v>
      </c>
      <c r="C23" s="1" t="s">
        <v>37</v>
      </c>
      <c r="D23" s="1" t="s">
        <v>29</v>
      </c>
      <c r="E23" s="1" t="s">
        <v>27</v>
      </c>
      <c r="F23" s="1">
        <v>1380</v>
      </c>
      <c r="G23" s="1" t="s">
        <v>62</v>
      </c>
    </row>
    <row r="24" spans="1:7" x14ac:dyDescent="0.25">
      <c r="A24" s="1" t="s">
        <v>118</v>
      </c>
      <c r="B24" s="2">
        <v>44614</v>
      </c>
      <c r="C24" s="1" t="s">
        <v>38</v>
      </c>
      <c r="D24" s="1" t="s">
        <v>32</v>
      </c>
      <c r="E24" s="1" t="s">
        <v>33</v>
      </c>
      <c r="F24" s="1">
        <v>720</v>
      </c>
      <c r="G24" s="1" t="s">
        <v>63</v>
      </c>
    </row>
    <row r="25" spans="1:7" x14ac:dyDescent="0.25">
      <c r="A25" s="1" t="s">
        <v>119</v>
      </c>
      <c r="B25" s="2">
        <v>44615</v>
      </c>
      <c r="C25" s="1" t="s">
        <v>39</v>
      </c>
      <c r="D25" s="1" t="s">
        <v>35</v>
      </c>
      <c r="E25" s="1" t="s">
        <v>27</v>
      </c>
      <c r="F25" s="1">
        <v>1690</v>
      </c>
      <c r="G25" s="1" t="s">
        <v>64</v>
      </c>
    </row>
    <row r="26" spans="1:7" x14ac:dyDescent="0.25">
      <c r="A26" s="1" t="s">
        <v>120</v>
      </c>
      <c r="B26" s="2">
        <v>44616</v>
      </c>
      <c r="C26" s="1" t="s">
        <v>91</v>
      </c>
      <c r="D26" s="1" t="s">
        <v>26</v>
      </c>
      <c r="E26" s="1" t="s">
        <v>33</v>
      </c>
      <c r="F26" s="1">
        <v>950</v>
      </c>
      <c r="G26" s="1" t="s">
        <v>65</v>
      </c>
    </row>
    <row r="27" spans="1:7" x14ac:dyDescent="0.25">
      <c r="A27" s="1" t="s">
        <v>121</v>
      </c>
      <c r="B27" s="2">
        <v>44617</v>
      </c>
      <c r="C27" s="1" t="s">
        <v>28</v>
      </c>
      <c r="D27" s="1" t="s">
        <v>29</v>
      </c>
      <c r="E27" s="1" t="s">
        <v>30</v>
      </c>
      <c r="F27" s="1">
        <v>1020</v>
      </c>
      <c r="G27" s="1" t="s">
        <v>66</v>
      </c>
    </row>
    <row r="28" spans="1:7" x14ac:dyDescent="0.25">
      <c r="A28" s="1" t="s">
        <v>122</v>
      </c>
      <c r="B28" s="2">
        <v>44618</v>
      </c>
      <c r="C28" s="1" t="s">
        <v>31</v>
      </c>
      <c r="D28" s="1" t="s">
        <v>32</v>
      </c>
      <c r="E28" s="1" t="s">
        <v>27</v>
      </c>
      <c r="F28" s="1">
        <v>1300</v>
      </c>
      <c r="G28" s="1" t="s">
        <v>67</v>
      </c>
    </row>
    <row r="29" spans="1:7" x14ac:dyDescent="0.25">
      <c r="A29" s="1" t="s">
        <v>123</v>
      </c>
      <c r="B29" s="2">
        <v>44619</v>
      </c>
      <c r="C29" s="1" t="s">
        <v>34</v>
      </c>
      <c r="D29" s="1" t="s">
        <v>35</v>
      </c>
      <c r="E29" s="1" t="s">
        <v>33</v>
      </c>
      <c r="F29" s="1">
        <v>480</v>
      </c>
      <c r="G29" s="1" t="s">
        <v>68</v>
      </c>
    </row>
    <row r="30" spans="1:7" x14ac:dyDescent="0.25">
      <c r="A30" s="1" t="s">
        <v>124</v>
      </c>
      <c r="B30" s="2">
        <v>44620</v>
      </c>
      <c r="C30" s="1" t="s">
        <v>36</v>
      </c>
      <c r="D30" s="1" t="s">
        <v>26</v>
      </c>
      <c r="E30" s="1" t="s">
        <v>27</v>
      </c>
      <c r="F30" s="1">
        <v>1500</v>
      </c>
      <c r="G30" s="1" t="s">
        <v>69</v>
      </c>
    </row>
    <row r="31" spans="1:7" x14ac:dyDescent="0.25">
      <c r="A31" s="1" t="s">
        <v>125</v>
      </c>
      <c r="B31" s="2">
        <v>44621</v>
      </c>
      <c r="C31" s="1" t="s">
        <v>37</v>
      </c>
      <c r="D31" s="1" t="s">
        <v>29</v>
      </c>
      <c r="E31" s="1" t="s">
        <v>30</v>
      </c>
      <c r="F31" s="1">
        <v>1100</v>
      </c>
      <c r="G31" s="1" t="s">
        <v>70</v>
      </c>
    </row>
    <row r="32" spans="1:7" x14ac:dyDescent="0.25">
      <c r="A32" s="1" t="s">
        <v>126</v>
      </c>
      <c r="B32" s="2">
        <v>44622</v>
      </c>
      <c r="C32" s="1" t="s">
        <v>38</v>
      </c>
      <c r="D32" s="1" t="s">
        <v>32</v>
      </c>
      <c r="E32" s="1" t="s">
        <v>33</v>
      </c>
      <c r="F32" s="1">
        <v>770</v>
      </c>
      <c r="G32" s="1" t="s">
        <v>71</v>
      </c>
    </row>
    <row r="33" spans="1:7" x14ac:dyDescent="0.25">
      <c r="A33" s="1" t="s">
        <v>127</v>
      </c>
      <c r="B33" s="2">
        <v>44623</v>
      </c>
      <c r="C33" s="1" t="s">
        <v>39</v>
      </c>
      <c r="D33" s="1" t="s">
        <v>35</v>
      </c>
      <c r="E33" s="1" t="s">
        <v>27</v>
      </c>
      <c r="F33" s="1">
        <v>1800</v>
      </c>
      <c r="G33" s="1" t="s">
        <v>72</v>
      </c>
    </row>
    <row r="34" spans="1:7" x14ac:dyDescent="0.25">
      <c r="A34" s="1" t="s">
        <v>128</v>
      </c>
      <c r="B34" s="2">
        <v>44624</v>
      </c>
      <c r="C34" s="1" t="s">
        <v>91</v>
      </c>
      <c r="D34" s="1" t="s">
        <v>26</v>
      </c>
      <c r="E34" s="1" t="s">
        <v>30</v>
      </c>
      <c r="F34" s="1">
        <v>990</v>
      </c>
      <c r="G34" s="1" t="s">
        <v>73</v>
      </c>
    </row>
    <row r="35" spans="1:7" x14ac:dyDescent="0.25">
      <c r="A35" s="1" t="s">
        <v>129</v>
      </c>
      <c r="B35" s="2">
        <v>44625</v>
      </c>
      <c r="C35" s="1" t="s">
        <v>28</v>
      </c>
      <c r="D35" s="1" t="s">
        <v>29</v>
      </c>
      <c r="E35" s="1" t="s">
        <v>27</v>
      </c>
      <c r="F35" s="1">
        <v>1450</v>
      </c>
      <c r="G35" s="1" t="s">
        <v>74</v>
      </c>
    </row>
    <row r="36" spans="1:7" x14ac:dyDescent="0.25">
      <c r="A36" s="1" t="s">
        <v>130</v>
      </c>
      <c r="B36" s="2">
        <v>44626</v>
      </c>
      <c r="C36" s="1" t="s">
        <v>31</v>
      </c>
      <c r="D36" s="1" t="s">
        <v>32</v>
      </c>
      <c r="E36" s="1" t="s">
        <v>33</v>
      </c>
      <c r="F36" s="1">
        <v>680</v>
      </c>
      <c r="G36" s="1" t="s">
        <v>75</v>
      </c>
    </row>
    <row r="37" spans="1:7" x14ac:dyDescent="0.25">
      <c r="A37" s="1" t="s">
        <v>131</v>
      </c>
      <c r="B37" s="2">
        <v>44627</v>
      </c>
      <c r="C37" s="1" t="s">
        <v>34</v>
      </c>
      <c r="D37" s="1" t="s">
        <v>35</v>
      </c>
      <c r="E37" s="1" t="s">
        <v>27</v>
      </c>
      <c r="F37" s="1">
        <v>1850</v>
      </c>
      <c r="G37" s="1" t="s">
        <v>76</v>
      </c>
    </row>
    <row r="38" spans="1:7" x14ac:dyDescent="0.25">
      <c r="A38" s="1" t="s">
        <v>132</v>
      </c>
      <c r="B38" s="2">
        <v>44628</v>
      </c>
      <c r="C38" s="1" t="s">
        <v>36</v>
      </c>
      <c r="D38" s="1" t="s">
        <v>26</v>
      </c>
      <c r="E38" s="1" t="s">
        <v>33</v>
      </c>
      <c r="F38" s="1">
        <v>860</v>
      </c>
      <c r="G38" s="1" t="s">
        <v>77</v>
      </c>
    </row>
    <row r="39" spans="1:7" x14ac:dyDescent="0.25">
      <c r="A39" s="1" t="s">
        <v>133</v>
      </c>
      <c r="B39" s="2">
        <v>44629</v>
      </c>
      <c r="C39" s="1" t="s">
        <v>37</v>
      </c>
      <c r="D39" s="1" t="s">
        <v>29</v>
      </c>
      <c r="E39" s="1" t="s">
        <v>27</v>
      </c>
      <c r="F39" s="1">
        <v>1420</v>
      </c>
      <c r="G39" s="1" t="s">
        <v>78</v>
      </c>
    </row>
    <row r="40" spans="1:7" x14ac:dyDescent="0.25">
      <c r="A40" s="1" t="s">
        <v>134</v>
      </c>
      <c r="B40" s="2">
        <v>44630</v>
      </c>
      <c r="C40" s="1" t="s">
        <v>38</v>
      </c>
      <c r="D40" s="1" t="s">
        <v>32</v>
      </c>
      <c r="E40" s="1" t="s">
        <v>30</v>
      </c>
      <c r="F40" s="1">
        <v>1080</v>
      </c>
      <c r="G40" s="1" t="s">
        <v>79</v>
      </c>
    </row>
    <row r="41" spans="1:7" x14ac:dyDescent="0.25">
      <c r="A41" s="1" t="s">
        <v>135</v>
      </c>
      <c r="B41" s="2">
        <v>44631</v>
      </c>
      <c r="C41" s="1" t="s">
        <v>39</v>
      </c>
      <c r="D41" s="1" t="s">
        <v>35</v>
      </c>
      <c r="E41" s="1" t="s">
        <v>33</v>
      </c>
      <c r="F41" s="1">
        <v>620</v>
      </c>
      <c r="G41" s="1" t="s">
        <v>80</v>
      </c>
    </row>
    <row r="42" spans="1:7" x14ac:dyDescent="0.25">
      <c r="A42" s="1" t="s">
        <v>136</v>
      </c>
      <c r="B42" s="2">
        <v>44632</v>
      </c>
      <c r="C42" s="1" t="s">
        <v>91</v>
      </c>
      <c r="D42" s="1" t="s">
        <v>26</v>
      </c>
      <c r="E42" s="1" t="s">
        <v>27</v>
      </c>
      <c r="F42" s="1">
        <v>1280</v>
      </c>
      <c r="G42" s="1" t="s">
        <v>81</v>
      </c>
    </row>
    <row r="43" spans="1:7" x14ac:dyDescent="0.25">
      <c r="A43" s="1"/>
      <c r="B43" s="2">
        <v>44633</v>
      </c>
      <c r="C43" s="1" t="s">
        <v>28</v>
      </c>
      <c r="D43" s="1" t="s">
        <v>29</v>
      </c>
      <c r="E43" s="1" t="s">
        <v>33</v>
      </c>
      <c r="F43" s="1">
        <v>780</v>
      </c>
      <c r="G43" s="1" t="s">
        <v>82</v>
      </c>
    </row>
    <row r="44" spans="1:7" x14ac:dyDescent="0.25">
      <c r="A44" s="1"/>
      <c r="B44" s="2">
        <v>44634</v>
      </c>
      <c r="C44" s="1" t="s">
        <v>31</v>
      </c>
      <c r="D44" s="1" t="s">
        <v>32</v>
      </c>
      <c r="E44" s="1" t="s">
        <v>30</v>
      </c>
      <c r="F44" s="1">
        <v>1130</v>
      </c>
      <c r="G44" s="1" t="s">
        <v>83</v>
      </c>
    </row>
    <row r="45" spans="1:7" x14ac:dyDescent="0.25">
      <c r="A45" s="1"/>
      <c r="B45" s="2">
        <v>44635</v>
      </c>
      <c r="C45" s="1" t="s">
        <v>34</v>
      </c>
      <c r="D45" s="1" t="s">
        <v>35</v>
      </c>
      <c r="E45" s="1" t="s">
        <v>27</v>
      </c>
      <c r="F45" s="1">
        <v>1900</v>
      </c>
      <c r="G45" s="1" t="s">
        <v>84</v>
      </c>
    </row>
    <row r="46" spans="1:7" x14ac:dyDescent="0.25">
      <c r="A46" s="1"/>
      <c r="B46" s="2">
        <v>44636</v>
      </c>
      <c r="C46" s="1" t="s">
        <v>36</v>
      </c>
      <c r="D46" s="1" t="s">
        <v>26</v>
      </c>
      <c r="E46" s="1" t="s">
        <v>27</v>
      </c>
      <c r="F46" s="1">
        <v>1550</v>
      </c>
      <c r="G46" s="1" t="s">
        <v>85</v>
      </c>
    </row>
    <row r="47" spans="1:7" x14ac:dyDescent="0.25">
      <c r="A47" s="1"/>
      <c r="B47" s="2">
        <v>44637</v>
      </c>
      <c r="C47" s="1" t="s">
        <v>37</v>
      </c>
      <c r="D47" s="1" t="s">
        <v>29</v>
      </c>
      <c r="E47" s="1" t="s">
        <v>33</v>
      </c>
      <c r="F47" s="1">
        <v>700</v>
      </c>
      <c r="G47" s="1" t="s">
        <v>86</v>
      </c>
    </row>
    <row r="48" spans="1:7" x14ac:dyDescent="0.25">
      <c r="A48" s="1"/>
      <c r="B48" s="2">
        <v>44638</v>
      </c>
      <c r="C48" s="1" t="s">
        <v>38</v>
      </c>
      <c r="D48" s="1" t="s">
        <v>32</v>
      </c>
      <c r="E48" s="1" t="s">
        <v>27</v>
      </c>
      <c r="F48" s="1">
        <v>1320</v>
      </c>
      <c r="G48" s="1" t="s">
        <v>87</v>
      </c>
    </row>
    <row r="49" spans="1:7" x14ac:dyDescent="0.25">
      <c r="A49" s="1"/>
      <c r="B49" s="2">
        <v>44639</v>
      </c>
      <c r="C49" s="1" t="s">
        <v>39</v>
      </c>
      <c r="D49" s="1" t="s">
        <v>35</v>
      </c>
      <c r="E49" s="1" t="s">
        <v>30</v>
      </c>
      <c r="F49" s="1">
        <v>1010</v>
      </c>
      <c r="G49" s="1" t="s">
        <v>88</v>
      </c>
    </row>
    <row r="50" spans="1:7" x14ac:dyDescent="0.25">
      <c r="A50" s="1"/>
      <c r="B50" s="2">
        <v>44640</v>
      </c>
      <c r="C50" s="1" t="s">
        <v>91</v>
      </c>
      <c r="D50" s="1" t="s">
        <v>26</v>
      </c>
      <c r="E50" s="1" t="s">
        <v>33</v>
      </c>
      <c r="F50" s="1">
        <v>980</v>
      </c>
      <c r="G50" s="1" t="s">
        <v>89</v>
      </c>
    </row>
    <row r="51" spans="1:7" x14ac:dyDescent="0.25">
      <c r="A51" s="1"/>
      <c r="B51" s="2">
        <v>44641</v>
      </c>
      <c r="C51" s="1" t="s">
        <v>28</v>
      </c>
      <c r="D51" s="1" t="s">
        <v>29</v>
      </c>
      <c r="E51" s="1" t="s">
        <v>27</v>
      </c>
      <c r="F51" s="1">
        <v>1500</v>
      </c>
      <c r="G51" s="1" t="s">
        <v>90</v>
      </c>
    </row>
    <row r="52" spans="1:7" x14ac:dyDescent="0.25">
      <c r="A52" s="1"/>
      <c r="B52" s="2">
        <v>44642</v>
      </c>
      <c r="C52" s="1" t="s">
        <v>92</v>
      </c>
      <c r="D52" s="1" t="s">
        <v>26</v>
      </c>
      <c r="E52" s="1" t="s">
        <v>93</v>
      </c>
      <c r="F52" s="1">
        <v>200</v>
      </c>
      <c r="G52" s="1" t="s">
        <v>94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3015-1EBA-4B5C-BFB8-4122259DE159}">
  <sheetPr codeName="Sheet4"/>
  <dimension ref="A1:Q49"/>
  <sheetViews>
    <sheetView workbookViewId="0">
      <selection activeCell="J6" sqref="J6"/>
    </sheetView>
  </sheetViews>
  <sheetFormatPr defaultRowHeight="15" x14ac:dyDescent="0.25"/>
  <cols>
    <col min="2" max="3" width="16.7109375" customWidth="1"/>
    <col min="4" max="4" width="16.140625" customWidth="1"/>
    <col min="5" max="5" width="10.5703125" customWidth="1"/>
    <col min="6" max="6" width="11.7109375" bestFit="1" customWidth="1"/>
    <col min="7" max="7" width="21.140625" customWidth="1"/>
    <col min="8" max="8" width="26.42578125" customWidth="1"/>
    <col min="10" max="10" width="13.42578125" bestFit="1" customWidth="1"/>
    <col min="11" max="11" width="22" bestFit="1" customWidth="1"/>
  </cols>
  <sheetData>
    <row r="1" spans="1:17" ht="34.5" x14ac:dyDescent="0.55000000000000004">
      <c r="A1" s="13" t="s">
        <v>141</v>
      </c>
      <c r="B1" s="13"/>
      <c r="C1" s="13"/>
      <c r="D1" s="13"/>
      <c r="E1" s="13"/>
      <c r="F1" s="13"/>
      <c r="G1" s="13"/>
      <c r="H1" s="13"/>
    </row>
    <row r="2" spans="1:17" x14ac:dyDescent="0.25">
      <c r="A2" s="1" t="s">
        <v>95</v>
      </c>
      <c r="B2" s="1" t="s">
        <v>25</v>
      </c>
      <c r="C2" s="1" t="s">
        <v>137</v>
      </c>
      <c r="D2" s="1" t="s">
        <v>21</v>
      </c>
      <c r="E2" s="1" t="s">
        <v>22</v>
      </c>
      <c r="F2" s="1" t="s">
        <v>23</v>
      </c>
      <c r="G2" s="1" t="s">
        <v>24</v>
      </c>
      <c r="H2" s="1" t="s">
        <v>40</v>
      </c>
    </row>
    <row r="3" spans="1:17" x14ac:dyDescent="0.25">
      <c r="A3" s="1" t="s">
        <v>131</v>
      </c>
      <c r="B3" s="1">
        <v>44627</v>
      </c>
      <c r="C3" s="1" t="str">
        <f t="shared" ref="C3:C44" si="0">TEXT(B3,"MMM")</f>
        <v>Mar</v>
      </c>
      <c r="D3" s="1" t="s">
        <v>34</v>
      </c>
      <c r="E3" s="1" t="s">
        <v>35</v>
      </c>
      <c r="F3" s="1" t="s">
        <v>27</v>
      </c>
      <c r="G3" s="1">
        <v>1850</v>
      </c>
      <c r="H3" s="1" t="s">
        <v>76</v>
      </c>
    </row>
    <row r="4" spans="1:17" x14ac:dyDescent="0.25">
      <c r="A4" s="1" t="s">
        <v>127</v>
      </c>
      <c r="B4" s="1">
        <v>44623</v>
      </c>
      <c r="C4" s="1" t="str">
        <f t="shared" si="0"/>
        <v>Mar</v>
      </c>
      <c r="D4" s="1" t="s">
        <v>39</v>
      </c>
      <c r="E4" s="1" t="s">
        <v>35</v>
      </c>
      <c r="F4" s="1" t="s">
        <v>27</v>
      </c>
      <c r="G4" s="1">
        <v>1800</v>
      </c>
      <c r="H4" s="1" t="s">
        <v>72</v>
      </c>
      <c r="J4" s="10" t="s">
        <v>143</v>
      </c>
    </row>
    <row r="5" spans="1:17" x14ac:dyDescent="0.25">
      <c r="A5" s="1" t="s">
        <v>107</v>
      </c>
      <c r="B5" s="1">
        <v>44603</v>
      </c>
      <c r="C5" s="1" t="str">
        <f t="shared" si="0"/>
        <v>Feb</v>
      </c>
      <c r="D5" s="1" t="s">
        <v>34</v>
      </c>
      <c r="E5" s="1" t="s">
        <v>35</v>
      </c>
      <c r="F5" s="1" t="s">
        <v>27</v>
      </c>
      <c r="G5" s="1">
        <v>1750</v>
      </c>
      <c r="H5" s="1" t="s">
        <v>52</v>
      </c>
      <c r="J5" t="s">
        <v>144</v>
      </c>
    </row>
    <row r="6" spans="1:17" x14ac:dyDescent="0.25">
      <c r="A6" s="1" t="s">
        <v>99</v>
      </c>
      <c r="B6" s="1">
        <v>44595</v>
      </c>
      <c r="C6" s="1" t="str">
        <f t="shared" si="0"/>
        <v>Feb</v>
      </c>
      <c r="D6" s="1" t="s">
        <v>34</v>
      </c>
      <c r="E6" s="1" t="s">
        <v>35</v>
      </c>
      <c r="F6" s="1" t="s">
        <v>27</v>
      </c>
      <c r="G6" s="1">
        <v>1700</v>
      </c>
      <c r="H6" s="1" t="s">
        <v>44</v>
      </c>
    </row>
    <row r="7" spans="1:17" x14ac:dyDescent="0.25">
      <c r="A7" s="1" t="s">
        <v>119</v>
      </c>
      <c r="B7" s="1">
        <v>44615</v>
      </c>
      <c r="C7" s="1" t="str">
        <f t="shared" si="0"/>
        <v>Feb</v>
      </c>
      <c r="D7" s="1" t="s">
        <v>39</v>
      </c>
      <c r="E7" s="1" t="s">
        <v>35</v>
      </c>
      <c r="F7" s="1" t="s">
        <v>27</v>
      </c>
      <c r="G7" s="1">
        <v>1690</v>
      </c>
      <c r="H7" s="1" t="s">
        <v>64</v>
      </c>
      <c r="J7" t="str" cm="1">
        <f t="array" aca="1" ref="J7:Q49" ca="1">OFFSET($A$2,0,0,COUNTA($A$2:$A$1048576),COUNTA($2:$2))</f>
        <v>ID</v>
      </c>
      <c r="K7" t="str">
        <f ca="1"/>
        <v>Date</v>
      </c>
      <c r="L7" t="str">
        <f ca="1"/>
        <v>month</v>
      </c>
      <c r="M7" t="str">
        <f ca="1"/>
        <v>Salesperson</v>
      </c>
      <c r="N7" t="str">
        <f ca="1"/>
        <v>Region</v>
      </c>
      <c r="O7" t="str">
        <f ca="1"/>
        <v>Product</v>
      </c>
      <c r="P7" t="str">
        <f ca="1"/>
        <v>Sales Amount</v>
      </c>
      <c r="Q7" t="str">
        <f ca="1"/>
        <v>City</v>
      </c>
    </row>
    <row r="8" spans="1:17" x14ac:dyDescent="0.25">
      <c r="A8" s="1" t="s">
        <v>124</v>
      </c>
      <c r="B8" s="1">
        <v>44620</v>
      </c>
      <c r="C8" s="1" t="str">
        <f t="shared" si="0"/>
        <v>Feb</v>
      </c>
      <c r="D8" s="1" t="s">
        <v>36</v>
      </c>
      <c r="E8" s="1" t="s">
        <v>26</v>
      </c>
      <c r="F8" s="1" t="s">
        <v>27</v>
      </c>
      <c r="G8" s="1">
        <v>1500</v>
      </c>
      <c r="H8" s="1" t="s">
        <v>69</v>
      </c>
      <c r="J8" t="str">
        <f ca="1"/>
        <v>Y155</v>
      </c>
      <c r="K8">
        <f ca="1"/>
        <v>44627</v>
      </c>
      <c r="L8" t="str">
        <f ca="1"/>
        <v>Mar</v>
      </c>
      <c r="M8" t="str">
        <f ca="1"/>
        <v>Emma</v>
      </c>
      <c r="N8" t="str">
        <f ca="1"/>
        <v>West</v>
      </c>
      <c r="O8" t="str">
        <f ca="1"/>
        <v>Laptop</v>
      </c>
      <c r="P8">
        <f ca="1"/>
        <v>1850</v>
      </c>
      <c r="Q8" t="str">
        <f ca="1"/>
        <v>Kansas City</v>
      </c>
    </row>
    <row r="9" spans="1:17" x14ac:dyDescent="0.25">
      <c r="A9" s="1" t="s">
        <v>108</v>
      </c>
      <c r="B9" s="1">
        <v>44604</v>
      </c>
      <c r="C9" s="1" t="str">
        <f t="shared" si="0"/>
        <v>Feb</v>
      </c>
      <c r="D9" s="1" t="s">
        <v>36</v>
      </c>
      <c r="E9" s="1" t="s">
        <v>26</v>
      </c>
      <c r="F9" s="1" t="s">
        <v>27</v>
      </c>
      <c r="G9" s="1">
        <v>1450</v>
      </c>
      <c r="H9" s="1" t="s">
        <v>53</v>
      </c>
      <c r="J9" t="str">
        <f ca="1"/>
        <v>Q102</v>
      </c>
      <c r="K9">
        <f ca="1"/>
        <v>44623</v>
      </c>
      <c r="L9" t="str">
        <f ca="1"/>
        <v>Mar</v>
      </c>
      <c r="M9" t="str">
        <f ca="1"/>
        <v>Emily</v>
      </c>
      <c r="N9" t="str">
        <f ca="1"/>
        <v>West</v>
      </c>
      <c r="O9" t="str">
        <f ca="1"/>
        <v>Laptop</v>
      </c>
      <c r="P9">
        <f ca="1"/>
        <v>1800</v>
      </c>
      <c r="Q9" t="str">
        <f ca="1"/>
        <v>Albuquerque</v>
      </c>
    </row>
    <row r="10" spans="1:17" x14ac:dyDescent="0.25">
      <c r="A10" s="1" t="s">
        <v>129</v>
      </c>
      <c r="B10" s="1">
        <v>44625</v>
      </c>
      <c r="C10" s="1" t="str">
        <f t="shared" si="0"/>
        <v>Mar</v>
      </c>
      <c r="D10" s="1" t="s">
        <v>28</v>
      </c>
      <c r="E10" s="1" t="s">
        <v>29</v>
      </c>
      <c r="F10" s="1" t="s">
        <v>27</v>
      </c>
      <c r="G10" s="1">
        <v>1450</v>
      </c>
      <c r="H10" s="1" t="s">
        <v>74</v>
      </c>
      <c r="J10" t="str">
        <f ca="1"/>
        <v>S129</v>
      </c>
      <c r="K10">
        <f ca="1"/>
        <v>44603</v>
      </c>
      <c r="L10" t="str">
        <f ca="1"/>
        <v>Feb</v>
      </c>
      <c r="M10" t="str">
        <f ca="1"/>
        <v>Emma</v>
      </c>
      <c r="N10" t="str">
        <f ca="1"/>
        <v>West</v>
      </c>
      <c r="O10" t="str">
        <f ca="1"/>
        <v>Laptop</v>
      </c>
      <c r="P10">
        <f ca="1"/>
        <v>1750</v>
      </c>
      <c r="Q10" t="str">
        <f ca="1"/>
        <v>Jacksonville</v>
      </c>
    </row>
    <row r="11" spans="1:17" x14ac:dyDescent="0.25">
      <c r="A11" s="1" t="s">
        <v>133</v>
      </c>
      <c r="B11" s="1">
        <v>44629</v>
      </c>
      <c r="C11" s="1" t="str">
        <f t="shared" si="0"/>
        <v>Mar</v>
      </c>
      <c r="D11" s="1" t="s">
        <v>37</v>
      </c>
      <c r="E11" s="1" t="s">
        <v>29</v>
      </c>
      <c r="F11" s="1" t="s">
        <v>27</v>
      </c>
      <c r="G11" s="1">
        <v>1420</v>
      </c>
      <c r="H11" s="1" t="s">
        <v>78</v>
      </c>
      <c r="J11" t="str">
        <f ca="1"/>
        <v>R114</v>
      </c>
      <c r="K11">
        <f ca="1"/>
        <v>44595</v>
      </c>
      <c r="L11" t="str">
        <f ca="1"/>
        <v>Feb</v>
      </c>
      <c r="M11" t="str">
        <f ca="1"/>
        <v>Emma</v>
      </c>
      <c r="N11" t="str">
        <f ca="1"/>
        <v>West</v>
      </c>
      <c r="O11" t="str">
        <f ca="1"/>
        <v>Laptop</v>
      </c>
      <c r="P11">
        <f ca="1"/>
        <v>1700</v>
      </c>
      <c r="Q11" t="str">
        <f ca="1"/>
        <v>Houston</v>
      </c>
    </row>
    <row r="12" spans="1:17" x14ac:dyDescent="0.25">
      <c r="A12" s="1" t="s">
        <v>113</v>
      </c>
      <c r="B12" s="1">
        <v>44609</v>
      </c>
      <c r="C12" s="1" t="str">
        <f t="shared" si="0"/>
        <v>Feb</v>
      </c>
      <c r="D12" s="1" t="s">
        <v>28</v>
      </c>
      <c r="E12" s="1" t="s">
        <v>29</v>
      </c>
      <c r="F12" s="1" t="s">
        <v>27</v>
      </c>
      <c r="G12" s="1">
        <v>1400</v>
      </c>
      <c r="H12" s="1" t="s">
        <v>58</v>
      </c>
      <c r="J12" t="str">
        <f ca="1"/>
        <v>F197</v>
      </c>
      <c r="K12">
        <f ca="1"/>
        <v>44615</v>
      </c>
      <c r="L12" t="str">
        <f ca="1"/>
        <v>Feb</v>
      </c>
      <c r="M12" t="str">
        <f ca="1"/>
        <v>Emily</v>
      </c>
      <c r="N12" t="str">
        <f ca="1"/>
        <v>West</v>
      </c>
      <c r="O12" t="str">
        <f ca="1"/>
        <v>Laptop</v>
      </c>
      <c r="P12">
        <f ca="1"/>
        <v>1690</v>
      </c>
      <c r="Q12" t="str">
        <f ca="1"/>
        <v>Detroit</v>
      </c>
    </row>
    <row r="13" spans="1:17" x14ac:dyDescent="0.25">
      <c r="A13" s="1" t="s">
        <v>117</v>
      </c>
      <c r="B13" s="1">
        <v>44613</v>
      </c>
      <c r="C13" s="1" t="str">
        <f t="shared" si="0"/>
        <v>Feb</v>
      </c>
      <c r="D13" s="1" t="s">
        <v>37</v>
      </c>
      <c r="E13" s="1" t="s">
        <v>29</v>
      </c>
      <c r="F13" s="1" t="s">
        <v>27</v>
      </c>
      <c r="G13" s="1">
        <v>1380</v>
      </c>
      <c r="H13" s="1" t="s">
        <v>62</v>
      </c>
      <c r="J13" t="str">
        <f ca="1"/>
        <v>J101</v>
      </c>
      <c r="K13">
        <f ca="1"/>
        <v>44620</v>
      </c>
      <c r="L13" t="str">
        <f ca="1"/>
        <v>Feb</v>
      </c>
      <c r="M13" t="str">
        <f ca="1"/>
        <v>John</v>
      </c>
      <c r="N13" t="str">
        <f ca="1"/>
        <v>North</v>
      </c>
      <c r="O13" t="str">
        <f ca="1"/>
        <v>Laptop</v>
      </c>
      <c r="P13">
        <f ca="1"/>
        <v>1500</v>
      </c>
      <c r="Q13" t="str">
        <f ca="1"/>
        <v>Louisville</v>
      </c>
    </row>
    <row r="14" spans="1:17" x14ac:dyDescent="0.25">
      <c r="A14" s="1" t="s">
        <v>101</v>
      </c>
      <c r="B14" s="1">
        <v>44597</v>
      </c>
      <c r="C14" s="1" t="str">
        <f t="shared" si="0"/>
        <v>Feb</v>
      </c>
      <c r="D14" s="1" t="s">
        <v>37</v>
      </c>
      <c r="E14" s="1" t="s">
        <v>29</v>
      </c>
      <c r="F14" s="1" t="s">
        <v>27</v>
      </c>
      <c r="G14" s="1">
        <v>1350</v>
      </c>
      <c r="H14" s="1" t="s">
        <v>46</v>
      </c>
      <c r="J14" t="str">
        <f ca="1"/>
        <v>V112</v>
      </c>
      <c r="K14">
        <f ca="1"/>
        <v>44604</v>
      </c>
      <c r="L14" t="str">
        <f ca="1"/>
        <v>Feb</v>
      </c>
      <c r="M14" t="str">
        <f ca="1"/>
        <v>John</v>
      </c>
      <c r="N14" t="str">
        <f ca="1"/>
        <v>North</v>
      </c>
      <c r="O14" t="str">
        <f ca="1"/>
        <v>Laptop</v>
      </c>
      <c r="P14">
        <f ca="1"/>
        <v>1450</v>
      </c>
      <c r="Q14" t="str">
        <f ca="1"/>
        <v>Fort Worth</v>
      </c>
    </row>
    <row r="15" spans="1:17" x14ac:dyDescent="0.25">
      <c r="A15" s="1" t="s">
        <v>122</v>
      </c>
      <c r="B15" s="1">
        <v>44618</v>
      </c>
      <c r="C15" s="1" t="str">
        <f t="shared" si="0"/>
        <v>Feb</v>
      </c>
      <c r="D15" s="1" t="s">
        <v>31</v>
      </c>
      <c r="E15" s="1" t="s">
        <v>32</v>
      </c>
      <c r="F15" s="1" t="s">
        <v>27</v>
      </c>
      <c r="G15" s="1">
        <v>1300</v>
      </c>
      <c r="H15" s="1" t="s">
        <v>67</v>
      </c>
      <c r="J15" t="str">
        <f ca="1"/>
        <v>I199</v>
      </c>
      <c r="K15">
        <f ca="1"/>
        <v>44625</v>
      </c>
      <c r="L15" t="str">
        <f ca="1"/>
        <v>Mar</v>
      </c>
      <c r="M15" t="str">
        <f ca="1"/>
        <v>Sophia</v>
      </c>
      <c r="N15" t="str">
        <f ca="1"/>
        <v>South</v>
      </c>
      <c r="O15" t="str">
        <f ca="1"/>
        <v>Laptop</v>
      </c>
      <c r="P15">
        <f ca="1"/>
        <v>1450</v>
      </c>
      <c r="Q15" t="str">
        <f ca="1"/>
        <v>Fresno</v>
      </c>
    </row>
    <row r="16" spans="1:17" x14ac:dyDescent="0.25">
      <c r="A16" s="1" t="s">
        <v>136</v>
      </c>
      <c r="B16" s="1">
        <v>44632</v>
      </c>
      <c r="C16" s="1" t="str">
        <f t="shared" si="0"/>
        <v>Mar</v>
      </c>
      <c r="D16" s="1" t="s">
        <v>91</v>
      </c>
      <c r="E16" s="1" t="s">
        <v>26</v>
      </c>
      <c r="F16" s="1" t="s">
        <v>27</v>
      </c>
      <c r="G16" s="1">
        <v>1280</v>
      </c>
      <c r="H16" s="1" t="s">
        <v>81</v>
      </c>
      <c r="J16" t="str">
        <f ca="1"/>
        <v>A167</v>
      </c>
      <c r="K16">
        <f ca="1"/>
        <v>44629</v>
      </c>
      <c r="L16" t="str">
        <f ca="1"/>
        <v>Mar</v>
      </c>
      <c r="M16" t="str">
        <f ca="1"/>
        <v>Jane</v>
      </c>
      <c r="N16" t="str">
        <f ca="1"/>
        <v>South</v>
      </c>
      <c r="O16" t="str">
        <f ca="1"/>
        <v>Laptop</v>
      </c>
      <c r="P16">
        <f ca="1"/>
        <v>1420</v>
      </c>
      <c r="Q16" t="str">
        <f ca="1"/>
        <v>Atlanta</v>
      </c>
    </row>
    <row r="17" spans="1:17" x14ac:dyDescent="0.25">
      <c r="A17" s="1" t="s">
        <v>110</v>
      </c>
      <c r="B17" s="1">
        <v>44606</v>
      </c>
      <c r="C17" s="1" t="str">
        <f t="shared" si="0"/>
        <v>Feb</v>
      </c>
      <c r="D17" s="1" t="s">
        <v>38</v>
      </c>
      <c r="E17" s="1" t="s">
        <v>32</v>
      </c>
      <c r="F17" s="1" t="s">
        <v>27</v>
      </c>
      <c r="G17" s="1">
        <v>1250</v>
      </c>
      <c r="H17" s="1" t="s">
        <v>55</v>
      </c>
      <c r="J17" t="str">
        <f ca="1"/>
        <v>P159</v>
      </c>
      <c r="K17">
        <f ca="1"/>
        <v>44609</v>
      </c>
      <c r="L17" t="str">
        <f ca="1"/>
        <v>Feb</v>
      </c>
      <c r="M17" t="str">
        <f ca="1"/>
        <v>Sophia</v>
      </c>
      <c r="N17" t="str">
        <f ca="1"/>
        <v>South</v>
      </c>
      <c r="O17" t="str">
        <f ca="1"/>
        <v>Laptop</v>
      </c>
      <c r="P17">
        <f ca="1"/>
        <v>1400</v>
      </c>
      <c r="Q17" t="str">
        <f ca="1"/>
        <v>Seattle</v>
      </c>
    </row>
    <row r="18" spans="1:17" x14ac:dyDescent="0.25">
      <c r="A18" s="1" t="s">
        <v>104</v>
      </c>
      <c r="B18" s="1">
        <v>44600</v>
      </c>
      <c r="C18" s="1" t="str">
        <f t="shared" si="0"/>
        <v>Feb</v>
      </c>
      <c r="D18" s="1" t="s">
        <v>91</v>
      </c>
      <c r="E18" s="1" t="s">
        <v>26</v>
      </c>
      <c r="F18" s="1" t="s">
        <v>27</v>
      </c>
      <c r="G18" s="1">
        <v>1200</v>
      </c>
      <c r="H18" s="1" t="s">
        <v>49</v>
      </c>
      <c r="J18" t="str">
        <f ca="1"/>
        <v>G178</v>
      </c>
      <c r="K18">
        <f ca="1"/>
        <v>44613</v>
      </c>
      <c r="L18" t="str">
        <f ca="1"/>
        <v>Feb</v>
      </c>
      <c r="M18" t="str">
        <f ca="1"/>
        <v>Jane</v>
      </c>
      <c r="N18" t="str">
        <f ca="1"/>
        <v>South</v>
      </c>
      <c r="O18" t="str">
        <f ca="1"/>
        <v>Laptop</v>
      </c>
      <c r="P18">
        <f ca="1"/>
        <v>1380</v>
      </c>
      <c r="Q18" t="str">
        <f ca="1"/>
        <v>El Paso</v>
      </c>
    </row>
    <row r="19" spans="1:17" x14ac:dyDescent="0.25">
      <c r="A19" s="1" t="s">
        <v>114</v>
      </c>
      <c r="B19" s="1">
        <v>44610</v>
      </c>
      <c r="C19" s="1" t="str">
        <f t="shared" si="0"/>
        <v>Feb</v>
      </c>
      <c r="D19" s="1" t="s">
        <v>31</v>
      </c>
      <c r="E19" s="1" t="s">
        <v>32</v>
      </c>
      <c r="F19" s="1" t="s">
        <v>30</v>
      </c>
      <c r="G19" s="1">
        <v>1150</v>
      </c>
      <c r="H19" s="1" t="s">
        <v>59</v>
      </c>
      <c r="J19" t="str">
        <f ca="1"/>
        <v>R182</v>
      </c>
      <c r="K19">
        <f ca="1"/>
        <v>44597</v>
      </c>
      <c r="L19" t="str">
        <f ca="1"/>
        <v>Feb</v>
      </c>
      <c r="M19" t="str">
        <f ca="1"/>
        <v>Jane</v>
      </c>
      <c r="N19" t="str">
        <f ca="1"/>
        <v>South</v>
      </c>
      <c r="O19" t="str">
        <f ca="1"/>
        <v>Laptop</v>
      </c>
      <c r="P19">
        <f ca="1"/>
        <v>1350</v>
      </c>
      <c r="Q19" t="str">
        <f ca="1"/>
        <v>Phoenix</v>
      </c>
    </row>
    <row r="20" spans="1:17" x14ac:dyDescent="0.25">
      <c r="A20" s="1" t="s">
        <v>96</v>
      </c>
      <c r="B20" s="1">
        <v>44592</v>
      </c>
      <c r="C20" s="1" t="str">
        <f t="shared" si="0"/>
        <v>Jan</v>
      </c>
      <c r="D20" s="1" t="s">
        <v>91</v>
      </c>
      <c r="E20" s="1" t="s">
        <v>26</v>
      </c>
      <c r="F20" s="1" t="s">
        <v>27</v>
      </c>
      <c r="G20" s="1">
        <v>1100</v>
      </c>
      <c r="H20" s="1" t="s">
        <v>41</v>
      </c>
      <c r="J20" t="str">
        <f ca="1"/>
        <v>D135</v>
      </c>
      <c r="K20">
        <f ca="1"/>
        <v>44618</v>
      </c>
      <c r="L20" t="str">
        <f ca="1"/>
        <v>Feb</v>
      </c>
      <c r="M20" t="str">
        <f ca="1"/>
        <v>Michael</v>
      </c>
      <c r="N20" t="str">
        <f ca="1"/>
        <v>East</v>
      </c>
      <c r="O20" t="str">
        <f ca="1"/>
        <v>Laptop</v>
      </c>
      <c r="P20">
        <f ca="1"/>
        <v>1300</v>
      </c>
      <c r="Q20" t="str">
        <f ca="1"/>
        <v>Oklahoma City</v>
      </c>
    </row>
    <row r="21" spans="1:17" x14ac:dyDescent="0.25">
      <c r="A21" s="1" t="s">
        <v>106</v>
      </c>
      <c r="B21" s="1">
        <v>44602</v>
      </c>
      <c r="C21" s="1" t="str">
        <f t="shared" si="0"/>
        <v>Feb</v>
      </c>
      <c r="D21" s="1" t="s">
        <v>31</v>
      </c>
      <c r="E21" s="1" t="s">
        <v>32</v>
      </c>
      <c r="F21" s="1" t="s">
        <v>30</v>
      </c>
      <c r="G21" s="1">
        <v>1100</v>
      </c>
      <c r="H21" s="1" t="s">
        <v>51</v>
      </c>
      <c r="J21" t="str">
        <f ca="1"/>
        <v>A141</v>
      </c>
      <c r="K21">
        <f ca="1"/>
        <v>44632</v>
      </c>
      <c r="L21" t="str">
        <f ca="1"/>
        <v>Mar</v>
      </c>
      <c r="M21" t="str">
        <f ca="1"/>
        <v>Ali</v>
      </c>
      <c r="N21" t="str">
        <f ca="1"/>
        <v>North</v>
      </c>
      <c r="O21" t="str">
        <f ca="1"/>
        <v>Laptop</v>
      </c>
      <c r="P21">
        <f ca="1"/>
        <v>1280</v>
      </c>
      <c r="Q21" t="str">
        <f ca="1"/>
        <v>Miami</v>
      </c>
    </row>
    <row r="22" spans="1:17" x14ac:dyDescent="0.25">
      <c r="A22" s="1" t="s">
        <v>125</v>
      </c>
      <c r="B22" s="1">
        <v>44621</v>
      </c>
      <c r="C22" s="1" t="str">
        <f t="shared" si="0"/>
        <v>Mar</v>
      </c>
      <c r="D22" s="1" t="s">
        <v>37</v>
      </c>
      <c r="E22" s="1" t="s">
        <v>29</v>
      </c>
      <c r="F22" s="1" t="s">
        <v>30</v>
      </c>
      <c r="G22" s="1">
        <v>1100</v>
      </c>
      <c r="H22" s="1" t="s">
        <v>70</v>
      </c>
      <c r="J22" t="str">
        <f ca="1"/>
        <v>J143</v>
      </c>
      <c r="K22">
        <f ca="1"/>
        <v>44606</v>
      </c>
      <c r="L22" t="str">
        <f ca="1"/>
        <v>Feb</v>
      </c>
      <c r="M22" t="str">
        <f ca="1"/>
        <v>Mike</v>
      </c>
      <c r="N22" t="str">
        <f ca="1"/>
        <v>East</v>
      </c>
      <c r="O22" t="str">
        <f ca="1"/>
        <v>Laptop</v>
      </c>
      <c r="P22">
        <f ca="1"/>
        <v>1250</v>
      </c>
      <c r="Q22" t="str">
        <f ca="1"/>
        <v>Charlotte</v>
      </c>
    </row>
    <row r="23" spans="1:17" x14ac:dyDescent="0.25">
      <c r="A23" s="1" t="s">
        <v>134</v>
      </c>
      <c r="B23" s="1">
        <v>44630</v>
      </c>
      <c r="C23" s="1" t="str">
        <f t="shared" si="0"/>
        <v>Mar</v>
      </c>
      <c r="D23" s="1" t="s">
        <v>38</v>
      </c>
      <c r="E23" s="1" t="s">
        <v>32</v>
      </c>
      <c r="F23" s="1" t="s">
        <v>30</v>
      </c>
      <c r="G23" s="1">
        <v>1080</v>
      </c>
      <c r="H23" s="1" t="s">
        <v>79</v>
      </c>
      <c r="J23" t="str">
        <f ca="1"/>
        <v>A163</v>
      </c>
      <c r="K23">
        <f ca="1"/>
        <v>44600</v>
      </c>
      <c r="L23" t="str">
        <f ca="1"/>
        <v>Feb</v>
      </c>
      <c r="M23" t="str">
        <f ca="1"/>
        <v>Ali</v>
      </c>
      <c r="N23" t="str">
        <f ca="1"/>
        <v>North</v>
      </c>
      <c r="O23" t="str">
        <f ca="1"/>
        <v>Laptop</v>
      </c>
      <c r="P23">
        <f ca="1"/>
        <v>1200</v>
      </c>
      <c r="Q23" t="str">
        <f ca="1"/>
        <v>Dallas</v>
      </c>
    </row>
    <row r="24" spans="1:17" x14ac:dyDescent="0.25">
      <c r="A24" s="1" t="s">
        <v>102</v>
      </c>
      <c r="B24" s="1">
        <v>44598</v>
      </c>
      <c r="C24" s="1" t="str">
        <f t="shared" si="0"/>
        <v>Feb</v>
      </c>
      <c r="D24" s="1" t="s">
        <v>38</v>
      </c>
      <c r="E24" s="1" t="s">
        <v>32</v>
      </c>
      <c r="F24" s="1" t="s">
        <v>30</v>
      </c>
      <c r="G24" s="1">
        <v>1050</v>
      </c>
      <c r="H24" s="1" t="s">
        <v>47</v>
      </c>
      <c r="J24" t="str">
        <f ca="1"/>
        <v>N191</v>
      </c>
      <c r="K24">
        <f ca="1"/>
        <v>44610</v>
      </c>
      <c r="L24" t="str">
        <f ca="1"/>
        <v>Feb</v>
      </c>
      <c r="M24" t="str">
        <f ca="1"/>
        <v>Michael</v>
      </c>
      <c r="N24" t="str">
        <f ca="1"/>
        <v>East</v>
      </c>
      <c r="O24" t="str">
        <f ca="1"/>
        <v>Tablet</v>
      </c>
      <c r="P24">
        <f ca="1"/>
        <v>1150</v>
      </c>
      <c r="Q24" t="str">
        <f ca="1"/>
        <v>Denver</v>
      </c>
    </row>
    <row r="25" spans="1:17" x14ac:dyDescent="0.25">
      <c r="A25" s="1" t="s">
        <v>121</v>
      </c>
      <c r="B25" s="1">
        <v>44617</v>
      </c>
      <c r="C25" s="1" t="str">
        <f t="shared" si="0"/>
        <v>Feb</v>
      </c>
      <c r="D25" s="1" t="s">
        <v>28</v>
      </c>
      <c r="E25" s="1" t="s">
        <v>29</v>
      </c>
      <c r="F25" s="1" t="s">
        <v>30</v>
      </c>
      <c r="G25" s="1">
        <v>1020</v>
      </c>
      <c r="H25" s="1" t="s">
        <v>66</v>
      </c>
      <c r="J25" t="str">
        <f ca="1"/>
        <v>Y154</v>
      </c>
      <c r="K25">
        <f ca="1"/>
        <v>44592</v>
      </c>
      <c r="L25" t="str">
        <f ca="1"/>
        <v>Jan</v>
      </c>
      <c r="M25" t="str">
        <f ca="1"/>
        <v>Ali</v>
      </c>
      <c r="N25" t="str">
        <f ca="1"/>
        <v>North</v>
      </c>
      <c r="O25" t="str">
        <f ca="1"/>
        <v>Laptop</v>
      </c>
      <c r="P25">
        <f ca="1"/>
        <v>1100</v>
      </c>
      <c r="Q25" t="str">
        <f ca="1"/>
        <v>New York</v>
      </c>
    </row>
    <row r="26" spans="1:17" x14ac:dyDescent="0.25">
      <c r="A26" s="1" t="s">
        <v>128</v>
      </c>
      <c r="B26" s="1">
        <v>44624</v>
      </c>
      <c r="C26" s="1" t="str">
        <f t="shared" si="0"/>
        <v>Mar</v>
      </c>
      <c r="D26" s="1" t="s">
        <v>91</v>
      </c>
      <c r="E26" s="1" t="s">
        <v>26</v>
      </c>
      <c r="F26" s="1" t="s">
        <v>30</v>
      </c>
      <c r="G26" s="1">
        <v>990</v>
      </c>
      <c r="H26" s="1" t="s">
        <v>73</v>
      </c>
      <c r="J26" t="str">
        <f ca="1"/>
        <v>M135</v>
      </c>
      <c r="K26">
        <f ca="1"/>
        <v>44602</v>
      </c>
      <c r="L26" t="str">
        <f ca="1"/>
        <v>Feb</v>
      </c>
      <c r="M26" t="str">
        <f ca="1"/>
        <v>Michael</v>
      </c>
      <c r="N26" t="str">
        <f ca="1"/>
        <v>East</v>
      </c>
      <c r="O26" t="str">
        <f ca="1"/>
        <v>Tablet</v>
      </c>
      <c r="P26">
        <f ca="1"/>
        <v>1100</v>
      </c>
      <c r="Q26" t="str">
        <f ca="1"/>
        <v>Austin</v>
      </c>
    </row>
    <row r="27" spans="1:17" x14ac:dyDescent="0.25">
      <c r="A27" s="1" t="s">
        <v>111</v>
      </c>
      <c r="B27" s="1">
        <v>44607</v>
      </c>
      <c r="C27" s="1" t="str">
        <f t="shared" si="0"/>
        <v>Feb</v>
      </c>
      <c r="D27" s="1" t="s">
        <v>39</v>
      </c>
      <c r="E27" s="1" t="s">
        <v>35</v>
      </c>
      <c r="F27" s="1" t="s">
        <v>30</v>
      </c>
      <c r="G27" s="1">
        <v>980</v>
      </c>
      <c r="H27" s="1" t="s">
        <v>56</v>
      </c>
      <c r="J27" t="str">
        <f ca="1"/>
        <v>C159</v>
      </c>
      <c r="K27">
        <f ca="1"/>
        <v>44621</v>
      </c>
      <c r="L27" t="str">
        <f ca="1"/>
        <v>Mar</v>
      </c>
      <c r="M27" t="str">
        <f ca="1"/>
        <v>Jane</v>
      </c>
      <c r="N27" t="str">
        <f ca="1"/>
        <v>South</v>
      </c>
      <c r="O27" t="str">
        <f ca="1"/>
        <v>Tablet</v>
      </c>
      <c r="P27">
        <f ca="1"/>
        <v>1100</v>
      </c>
      <c r="Q27" t="str">
        <f ca="1"/>
        <v>Baltimore</v>
      </c>
    </row>
    <row r="28" spans="1:17" x14ac:dyDescent="0.25">
      <c r="A28" s="1" t="s">
        <v>97</v>
      </c>
      <c r="B28" s="1">
        <v>44593</v>
      </c>
      <c r="C28" s="1" t="str">
        <f t="shared" si="0"/>
        <v>Feb</v>
      </c>
      <c r="D28" s="1" t="s">
        <v>28</v>
      </c>
      <c r="E28" s="1" t="s">
        <v>29</v>
      </c>
      <c r="F28" s="1" t="s">
        <v>30</v>
      </c>
      <c r="G28" s="1">
        <v>950</v>
      </c>
      <c r="H28" s="1" t="s">
        <v>42</v>
      </c>
      <c r="J28" t="str">
        <f ca="1"/>
        <v>B121</v>
      </c>
      <c r="K28">
        <f ca="1"/>
        <v>44630</v>
      </c>
      <c r="L28" t="str">
        <f ca="1"/>
        <v>Mar</v>
      </c>
      <c r="M28" t="str">
        <f ca="1"/>
        <v>Mike</v>
      </c>
      <c r="N28" t="str">
        <f ca="1"/>
        <v>East</v>
      </c>
      <c r="O28" t="str">
        <f ca="1"/>
        <v>Tablet</v>
      </c>
      <c r="P28">
        <f ca="1"/>
        <v>1080</v>
      </c>
      <c r="Q28" t="str">
        <f ca="1"/>
        <v>Omaha</v>
      </c>
    </row>
    <row r="29" spans="1:17" x14ac:dyDescent="0.25">
      <c r="A29" s="1" t="s">
        <v>120</v>
      </c>
      <c r="B29" s="1">
        <v>44616</v>
      </c>
      <c r="C29" s="1" t="str">
        <f t="shared" si="0"/>
        <v>Feb</v>
      </c>
      <c r="D29" s="1" t="s">
        <v>91</v>
      </c>
      <c r="E29" s="1" t="s">
        <v>26</v>
      </c>
      <c r="F29" s="1" t="s">
        <v>33</v>
      </c>
      <c r="G29" s="1">
        <v>950</v>
      </c>
      <c r="H29" s="1" t="s">
        <v>65</v>
      </c>
      <c r="J29" t="str">
        <f ca="1"/>
        <v>Q151</v>
      </c>
      <c r="K29">
        <f ca="1"/>
        <v>44598</v>
      </c>
      <c r="L29" t="str">
        <f ca="1"/>
        <v>Feb</v>
      </c>
      <c r="M29" t="str">
        <f ca="1"/>
        <v>Mike</v>
      </c>
      <c r="N29" t="str">
        <f ca="1"/>
        <v>East</v>
      </c>
      <c r="O29" t="str">
        <f ca="1"/>
        <v>Tablet</v>
      </c>
      <c r="P29">
        <f ca="1"/>
        <v>1050</v>
      </c>
      <c r="Q29" t="str">
        <f ca="1"/>
        <v>San Antonio</v>
      </c>
    </row>
    <row r="30" spans="1:17" x14ac:dyDescent="0.25">
      <c r="A30" s="1" t="s">
        <v>112</v>
      </c>
      <c r="B30" s="1">
        <v>44608</v>
      </c>
      <c r="C30" s="1" t="str">
        <f t="shared" si="0"/>
        <v>Feb</v>
      </c>
      <c r="D30" s="1" t="s">
        <v>91</v>
      </c>
      <c r="E30" s="1" t="s">
        <v>26</v>
      </c>
      <c r="F30" s="1" t="s">
        <v>33</v>
      </c>
      <c r="G30" s="1">
        <v>900</v>
      </c>
      <c r="H30" s="1" t="s">
        <v>57</v>
      </c>
      <c r="J30" t="str">
        <f ca="1"/>
        <v>M188</v>
      </c>
      <c r="K30">
        <f ca="1"/>
        <v>44617</v>
      </c>
      <c r="L30" t="str">
        <f ca="1"/>
        <v>Feb</v>
      </c>
      <c r="M30" t="str">
        <f ca="1"/>
        <v>Sophia</v>
      </c>
      <c r="N30" t="str">
        <f ca="1"/>
        <v>South</v>
      </c>
      <c r="O30" t="str">
        <f ca="1"/>
        <v>Tablet</v>
      </c>
      <c r="P30">
        <f ca="1"/>
        <v>1020</v>
      </c>
      <c r="Q30" t="str">
        <f ca="1"/>
        <v>Portland</v>
      </c>
    </row>
    <row r="31" spans="1:17" x14ac:dyDescent="0.25">
      <c r="A31" s="1" t="s">
        <v>116</v>
      </c>
      <c r="B31" s="1">
        <v>44612</v>
      </c>
      <c r="C31" s="1" t="str">
        <f t="shared" si="0"/>
        <v>Feb</v>
      </c>
      <c r="D31" s="1" t="s">
        <v>36</v>
      </c>
      <c r="E31" s="1" t="s">
        <v>26</v>
      </c>
      <c r="F31" s="1" t="s">
        <v>30</v>
      </c>
      <c r="G31" s="1">
        <v>880</v>
      </c>
      <c r="H31" s="1" t="s">
        <v>61</v>
      </c>
      <c r="J31" t="str">
        <f ca="1"/>
        <v>R130</v>
      </c>
      <c r="K31">
        <f ca="1"/>
        <v>44624</v>
      </c>
      <c r="L31" t="str">
        <f ca="1"/>
        <v>Mar</v>
      </c>
      <c r="M31" t="str">
        <f ca="1"/>
        <v>Ali</v>
      </c>
      <c r="N31" t="str">
        <f ca="1"/>
        <v>North</v>
      </c>
      <c r="O31" t="str">
        <f ca="1"/>
        <v>Tablet</v>
      </c>
      <c r="P31">
        <f ca="1"/>
        <v>990</v>
      </c>
      <c r="Q31" t="str">
        <f ca="1"/>
        <v>Tucson</v>
      </c>
    </row>
    <row r="32" spans="1:17" x14ac:dyDescent="0.25">
      <c r="A32" s="1" t="s">
        <v>132</v>
      </c>
      <c r="B32" s="1">
        <v>44628</v>
      </c>
      <c r="C32" s="1" t="str">
        <f t="shared" si="0"/>
        <v>Mar</v>
      </c>
      <c r="D32" s="1" t="s">
        <v>36</v>
      </c>
      <c r="E32" s="1" t="s">
        <v>26</v>
      </c>
      <c r="F32" s="1" t="s">
        <v>33</v>
      </c>
      <c r="G32" s="1">
        <v>860</v>
      </c>
      <c r="H32" s="1" t="s">
        <v>77</v>
      </c>
      <c r="J32" t="str">
        <f ca="1"/>
        <v>P150</v>
      </c>
      <c r="K32">
        <f ca="1"/>
        <v>44607</v>
      </c>
      <c r="L32" t="str">
        <f ca="1"/>
        <v>Feb</v>
      </c>
      <c r="M32" t="str">
        <f ca="1"/>
        <v>Emily</v>
      </c>
      <c r="N32" t="str">
        <f ca="1"/>
        <v>West</v>
      </c>
      <c r="O32" t="str">
        <f ca="1"/>
        <v>Tablet</v>
      </c>
      <c r="P32">
        <f ca="1"/>
        <v>980</v>
      </c>
      <c r="Q32" t="str">
        <f ca="1"/>
        <v>San Francisco</v>
      </c>
    </row>
    <row r="33" spans="1:17" x14ac:dyDescent="0.25">
      <c r="A33" s="1" t="s">
        <v>100</v>
      </c>
      <c r="B33" s="1">
        <v>44596</v>
      </c>
      <c r="C33" s="1" t="str">
        <f t="shared" si="0"/>
        <v>Feb</v>
      </c>
      <c r="D33" s="1" t="s">
        <v>36</v>
      </c>
      <c r="E33" s="1" t="s">
        <v>26</v>
      </c>
      <c r="F33" s="1" t="s">
        <v>33</v>
      </c>
      <c r="G33" s="1">
        <v>820</v>
      </c>
      <c r="H33" s="1" t="s">
        <v>45</v>
      </c>
      <c r="J33" t="str">
        <f ca="1"/>
        <v>O194</v>
      </c>
      <c r="K33">
        <f ca="1"/>
        <v>44593</v>
      </c>
      <c r="L33" t="str">
        <f ca="1"/>
        <v>Feb</v>
      </c>
      <c r="M33" t="str">
        <f ca="1"/>
        <v>Sophia</v>
      </c>
      <c r="N33" t="str">
        <f ca="1"/>
        <v>South</v>
      </c>
      <c r="O33" t="str">
        <f ca="1"/>
        <v>Tablet</v>
      </c>
      <c r="P33">
        <f ca="1"/>
        <v>950</v>
      </c>
      <c r="Q33" t="str">
        <f ca="1"/>
        <v>Los Angeles</v>
      </c>
    </row>
    <row r="34" spans="1:17" x14ac:dyDescent="0.25">
      <c r="A34" s="1" t="s">
        <v>126</v>
      </c>
      <c r="B34" s="1">
        <v>44622</v>
      </c>
      <c r="C34" s="1" t="str">
        <f t="shared" si="0"/>
        <v>Mar</v>
      </c>
      <c r="D34" s="1" t="s">
        <v>38</v>
      </c>
      <c r="E34" s="1" t="s">
        <v>32</v>
      </c>
      <c r="F34" s="1" t="s">
        <v>33</v>
      </c>
      <c r="G34" s="1">
        <v>770</v>
      </c>
      <c r="H34" s="1" t="s">
        <v>71</v>
      </c>
      <c r="J34" t="str">
        <f ca="1"/>
        <v>C108</v>
      </c>
      <c r="K34">
        <f ca="1"/>
        <v>44616</v>
      </c>
      <c r="L34" t="str">
        <f ca="1"/>
        <v>Feb</v>
      </c>
      <c r="M34" t="str">
        <f ca="1"/>
        <v>Ali</v>
      </c>
      <c r="N34" t="str">
        <f ca="1"/>
        <v>North</v>
      </c>
      <c r="O34" t="str">
        <f ca="1"/>
        <v>Smartphone</v>
      </c>
      <c r="P34">
        <f ca="1"/>
        <v>950</v>
      </c>
      <c r="Q34" t="str">
        <f ca="1"/>
        <v>Memphis</v>
      </c>
    </row>
    <row r="35" spans="1:17" x14ac:dyDescent="0.25">
      <c r="A35" s="1" t="s">
        <v>98</v>
      </c>
      <c r="B35" s="1">
        <v>44594</v>
      </c>
      <c r="C35" s="1" t="str">
        <f t="shared" si="0"/>
        <v>Feb</v>
      </c>
      <c r="D35" s="1" t="s">
        <v>31</v>
      </c>
      <c r="E35" s="1" t="s">
        <v>32</v>
      </c>
      <c r="F35" s="1" t="s">
        <v>33</v>
      </c>
      <c r="G35" s="1">
        <v>750</v>
      </c>
      <c r="H35" s="1" t="s">
        <v>43</v>
      </c>
      <c r="J35" t="str">
        <f ca="1"/>
        <v>O117</v>
      </c>
      <c r="K35">
        <f ca="1"/>
        <v>44608</v>
      </c>
      <c r="L35" t="str">
        <f ca="1"/>
        <v>Feb</v>
      </c>
      <c r="M35" t="str">
        <f ca="1"/>
        <v>Ali</v>
      </c>
      <c r="N35" t="str">
        <f ca="1"/>
        <v>North</v>
      </c>
      <c r="O35" t="str">
        <f ca="1"/>
        <v>Smartphone</v>
      </c>
      <c r="P35">
        <f ca="1"/>
        <v>900</v>
      </c>
      <c r="Q35" t="str">
        <f ca="1"/>
        <v>Indianapolis</v>
      </c>
    </row>
    <row r="36" spans="1:17" x14ac:dyDescent="0.25">
      <c r="A36" s="1" t="s">
        <v>118</v>
      </c>
      <c r="B36" s="1">
        <v>44614</v>
      </c>
      <c r="C36" s="1" t="str">
        <f t="shared" si="0"/>
        <v>Feb</v>
      </c>
      <c r="D36" s="1" t="s">
        <v>38</v>
      </c>
      <c r="E36" s="1" t="s">
        <v>32</v>
      </c>
      <c r="F36" s="1" t="s">
        <v>33</v>
      </c>
      <c r="G36" s="1">
        <v>720</v>
      </c>
      <c r="H36" s="1" t="s">
        <v>63</v>
      </c>
      <c r="J36" t="str">
        <f ca="1"/>
        <v>C119</v>
      </c>
      <c r="K36">
        <f ca="1"/>
        <v>44612</v>
      </c>
      <c r="L36" t="str">
        <f ca="1"/>
        <v>Feb</v>
      </c>
      <c r="M36" t="str">
        <f ca="1"/>
        <v>John</v>
      </c>
      <c r="N36" t="str">
        <f ca="1"/>
        <v>North</v>
      </c>
      <c r="O36" t="str">
        <f ca="1"/>
        <v>Tablet</v>
      </c>
      <c r="P36">
        <f ca="1"/>
        <v>880</v>
      </c>
      <c r="Q36" t="str">
        <f ca="1"/>
        <v>Boston</v>
      </c>
    </row>
    <row r="37" spans="1:17" x14ac:dyDescent="0.25">
      <c r="A37" s="1" t="s">
        <v>105</v>
      </c>
      <c r="B37" s="1">
        <v>44601</v>
      </c>
      <c r="C37" s="1" t="str">
        <f t="shared" si="0"/>
        <v>Feb</v>
      </c>
      <c r="D37" s="1" t="s">
        <v>28</v>
      </c>
      <c r="E37" s="1" t="s">
        <v>29</v>
      </c>
      <c r="F37" s="1" t="s">
        <v>33</v>
      </c>
      <c r="G37" s="1">
        <v>700</v>
      </c>
      <c r="H37" s="1" t="s">
        <v>50</v>
      </c>
      <c r="J37" t="str">
        <f ca="1"/>
        <v>O182</v>
      </c>
      <c r="K37">
        <f ca="1"/>
        <v>44628</v>
      </c>
      <c r="L37" t="str">
        <f ca="1"/>
        <v>Mar</v>
      </c>
      <c r="M37" t="str">
        <f ca="1"/>
        <v>John</v>
      </c>
      <c r="N37" t="str">
        <f ca="1"/>
        <v>North</v>
      </c>
      <c r="O37" t="str">
        <f ca="1"/>
        <v>Smartphone</v>
      </c>
      <c r="P37">
        <f ca="1"/>
        <v>860</v>
      </c>
      <c r="Q37" t="str">
        <f ca="1"/>
        <v>Mesa</v>
      </c>
    </row>
    <row r="38" spans="1:17" x14ac:dyDescent="0.25">
      <c r="A38" s="1" t="s">
        <v>130</v>
      </c>
      <c r="B38" s="1">
        <v>44626</v>
      </c>
      <c r="C38" s="1" t="str">
        <f t="shared" si="0"/>
        <v>Mar</v>
      </c>
      <c r="D38" s="1" t="s">
        <v>31</v>
      </c>
      <c r="E38" s="1" t="s">
        <v>32</v>
      </c>
      <c r="F38" s="1" t="s">
        <v>33</v>
      </c>
      <c r="G38" s="1">
        <v>680</v>
      </c>
      <c r="H38" s="1" t="s">
        <v>75</v>
      </c>
      <c r="J38" t="str">
        <f ca="1"/>
        <v>X107</v>
      </c>
      <c r="K38">
        <f ca="1"/>
        <v>44596</v>
      </c>
      <c r="L38" t="str">
        <f ca="1"/>
        <v>Feb</v>
      </c>
      <c r="M38" t="str">
        <f ca="1"/>
        <v>John</v>
      </c>
      <c r="N38" t="str">
        <f ca="1"/>
        <v>North</v>
      </c>
      <c r="O38" t="str">
        <f ca="1"/>
        <v>Smartphone</v>
      </c>
      <c r="P38">
        <f ca="1"/>
        <v>820</v>
      </c>
      <c r="Q38" t="str">
        <f ca="1"/>
        <v>Philadelphia</v>
      </c>
    </row>
    <row r="39" spans="1:17" x14ac:dyDescent="0.25">
      <c r="A39" s="1" t="s">
        <v>109</v>
      </c>
      <c r="B39" s="1">
        <v>44605</v>
      </c>
      <c r="C39" s="1" t="str">
        <f t="shared" si="0"/>
        <v>Feb</v>
      </c>
      <c r="D39" s="1" t="s">
        <v>37</v>
      </c>
      <c r="E39" s="1" t="s">
        <v>29</v>
      </c>
      <c r="F39" s="1" t="s">
        <v>33</v>
      </c>
      <c r="G39" s="1">
        <v>650</v>
      </c>
      <c r="H39" s="1" t="s">
        <v>54</v>
      </c>
      <c r="J39" t="str">
        <f ca="1"/>
        <v>F106</v>
      </c>
      <c r="K39">
        <f ca="1"/>
        <v>44622</v>
      </c>
      <c r="L39" t="str">
        <f ca="1"/>
        <v>Mar</v>
      </c>
      <c r="M39" t="str">
        <f ca="1"/>
        <v>Mike</v>
      </c>
      <c r="N39" t="str">
        <f ca="1"/>
        <v>East</v>
      </c>
      <c r="O39" t="str">
        <f ca="1"/>
        <v>Smartphone</v>
      </c>
      <c r="P39">
        <f ca="1"/>
        <v>770</v>
      </c>
      <c r="Q39" t="str">
        <f ca="1"/>
        <v>Milwaukee</v>
      </c>
    </row>
    <row r="40" spans="1:17" x14ac:dyDescent="0.25">
      <c r="A40" s="1" t="s">
        <v>135</v>
      </c>
      <c r="B40" s="1">
        <v>44631</v>
      </c>
      <c r="C40" s="1" t="str">
        <f t="shared" si="0"/>
        <v>Mar</v>
      </c>
      <c r="D40" s="1" t="s">
        <v>39</v>
      </c>
      <c r="E40" s="1" t="s">
        <v>35</v>
      </c>
      <c r="F40" s="1" t="s">
        <v>33</v>
      </c>
      <c r="G40" s="1">
        <v>620</v>
      </c>
      <c r="H40" s="1" t="s">
        <v>80</v>
      </c>
      <c r="J40" t="str">
        <f ca="1"/>
        <v>E169</v>
      </c>
      <c r="K40">
        <f ca="1"/>
        <v>44594</v>
      </c>
      <c r="L40" t="str">
        <f ca="1"/>
        <v>Feb</v>
      </c>
      <c r="M40" t="str">
        <f ca="1"/>
        <v>Michael</v>
      </c>
      <c r="N40" t="str">
        <f ca="1"/>
        <v>East</v>
      </c>
      <c r="O40" t="str">
        <f ca="1"/>
        <v>Smartphone</v>
      </c>
      <c r="P40">
        <f ca="1"/>
        <v>750</v>
      </c>
      <c r="Q40" t="str">
        <f ca="1"/>
        <v>Chicago</v>
      </c>
    </row>
    <row r="41" spans="1:17" x14ac:dyDescent="0.25">
      <c r="A41" s="1" t="s">
        <v>103</v>
      </c>
      <c r="B41" s="1">
        <v>44599</v>
      </c>
      <c r="C41" s="1" t="str">
        <f t="shared" si="0"/>
        <v>Feb</v>
      </c>
      <c r="D41" s="1" t="s">
        <v>39</v>
      </c>
      <c r="E41" s="1" t="s">
        <v>35</v>
      </c>
      <c r="F41" s="1" t="s">
        <v>33</v>
      </c>
      <c r="G41" s="1">
        <v>600</v>
      </c>
      <c r="H41" s="1" t="s">
        <v>48</v>
      </c>
      <c r="J41" t="str">
        <f ca="1"/>
        <v>Z147</v>
      </c>
      <c r="K41">
        <f ca="1"/>
        <v>44614</v>
      </c>
      <c r="L41" t="str">
        <f ca="1"/>
        <v>Feb</v>
      </c>
      <c r="M41" t="str">
        <f ca="1"/>
        <v>Mike</v>
      </c>
      <c r="N41" t="str">
        <f ca="1"/>
        <v>East</v>
      </c>
      <c r="O41" t="str">
        <f ca="1"/>
        <v>Smartphone</v>
      </c>
      <c r="P41">
        <f ca="1"/>
        <v>720</v>
      </c>
      <c r="Q41" t="str">
        <f ca="1"/>
        <v>Nashville</v>
      </c>
    </row>
    <row r="42" spans="1:17" x14ac:dyDescent="0.25">
      <c r="A42" s="1" t="s">
        <v>115</v>
      </c>
      <c r="B42" s="1">
        <v>44611</v>
      </c>
      <c r="C42" s="1" t="str">
        <f t="shared" si="0"/>
        <v>Feb</v>
      </c>
      <c r="D42" s="1" t="s">
        <v>34</v>
      </c>
      <c r="E42" s="1" t="s">
        <v>35</v>
      </c>
      <c r="F42" s="1" t="s">
        <v>33</v>
      </c>
      <c r="G42" s="1">
        <v>550</v>
      </c>
      <c r="H42" s="1" t="s">
        <v>60</v>
      </c>
      <c r="J42" t="str">
        <f ca="1"/>
        <v>Y145</v>
      </c>
      <c r="K42">
        <f ca="1"/>
        <v>44601</v>
      </c>
      <c r="L42" t="str">
        <f ca="1"/>
        <v>Feb</v>
      </c>
      <c r="M42" t="str">
        <f ca="1"/>
        <v>Sophia</v>
      </c>
      <c r="N42" t="str">
        <f ca="1"/>
        <v>South</v>
      </c>
      <c r="O42" t="str">
        <f ca="1"/>
        <v>Smartphone</v>
      </c>
      <c r="P42">
        <f ca="1"/>
        <v>700</v>
      </c>
      <c r="Q42" t="str">
        <f ca="1"/>
        <v>San Jose</v>
      </c>
    </row>
    <row r="43" spans="1:17" x14ac:dyDescent="0.25">
      <c r="A43" s="1" t="s">
        <v>123</v>
      </c>
      <c r="B43" s="1">
        <v>44619</v>
      </c>
      <c r="C43" s="1" t="str">
        <f t="shared" si="0"/>
        <v>Feb</v>
      </c>
      <c r="D43" s="1" t="s">
        <v>34</v>
      </c>
      <c r="E43" s="1" t="s">
        <v>35</v>
      </c>
      <c r="F43" s="1" t="s">
        <v>33</v>
      </c>
      <c r="G43" s="1">
        <v>480</v>
      </c>
      <c r="H43" s="1" t="s">
        <v>68</v>
      </c>
      <c r="J43" t="str">
        <f ca="1"/>
        <v>A133</v>
      </c>
      <c r="K43">
        <f ca="1"/>
        <v>44626</v>
      </c>
      <c r="L43" t="str">
        <f ca="1"/>
        <v>Mar</v>
      </c>
      <c r="M43" t="str">
        <f ca="1"/>
        <v>Michael</v>
      </c>
      <c r="N43" t="str">
        <f ca="1"/>
        <v>East</v>
      </c>
      <c r="O43" t="str">
        <f ca="1"/>
        <v>Smartphone</v>
      </c>
      <c r="P43">
        <f ca="1"/>
        <v>680</v>
      </c>
      <c r="Q43" t="str">
        <f ca="1"/>
        <v>Sacramento</v>
      </c>
    </row>
    <row r="44" spans="1:17" x14ac:dyDescent="0.25">
      <c r="A44" s="11" t="s">
        <v>148</v>
      </c>
      <c r="B44" s="11">
        <v>44620</v>
      </c>
      <c r="C44" s="11" t="str">
        <f t="shared" si="0"/>
        <v>Feb</v>
      </c>
      <c r="D44" s="11" t="s">
        <v>145</v>
      </c>
      <c r="E44" s="11" t="s">
        <v>146</v>
      </c>
      <c r="F44" s="11" t="s">
        <v>147</v>
      </c>
      <c r="G44" s="11">
        <v>3456</v>
      </c>
      <c r="H44" s="11" t="s">
        <v>94</v>
      </c>
      <c r="J44" t="str">
        <f ca="1"/>
        <v>U107</v>
      </c>
      <c r="K44">
        <f ca="1"/>
        <v>44605</v>
      </c>
      <c r="L44" t="str">
        <f ca="1"/>
        <v>Feb</v>
      </c>
      <c r="M44" t="str">
        <f ca="1"/>
        <v>Jane</v>
      </c>
      <c r="N44" t="str">
        <f ca="1"/>
        <v>South</v>
      </c>
      <c r="O44" t="str">
        <f ca="1"/>
        <v>Smartphone</v>
      </c>
      <c r="P44">
        <f ca="1"/>
        <v>650</v>
      </c>
      <c r="Q44" t="str">
        <f ca="1"/>
        <v>Columbus</v>
      </c>
    </row>
    <row r="45" spans="1:17" x14ac:dyDescent="0.25">
      <c r="J45" t="str">
        <f ca="1"/>
        <v>V108</v>
      </c>
      <c r="K45">
        <f ca="1"/>
        <v>44631</v>
      </c>
      <c r="L45" t="str">
        <f ca="1"/>
        <v>Mar</v>
      </c>
      <c r="M45" t="str">
        <f ca="1"/>
        <v>Emily</v>
      </c>
      <c r="N45" t="str">
        <f ca="1"/>
        <v>West</v>
      </c>
      <c r="O45" t="str">
        <f ca="1"/>
        <v>Smartphone</v>
      </c>
      <c r="P45">
        <f ca="1"/>
        <v>620</v>
      </c>
      <c r="Q45" t="str">
        <f ca="1"/>
        <v>Raleigh</v>
      </c>
    </row>
    <row r="46" spans="1:17" x14ac:dyDescent="0.25">
      <c r="J46" t="str">
        <f ca="1"/>
        <v>C170</v>
      </c>
      <c r="K46">
        <f ca="1"/>
        <v>44599</v>
      </c>
      <c r="L46" t="str">
        <f ca="1"/>
        <v>Feb</v>
      </c>
      <c r="M46" t="str">
        <f ca="1"/>
        <v>Emily</v>
      </c>
      <c r="N46" t="str">
        <f ca="1"/>
        <v>West</v>
      </c>
      <c r="O46" t="str">
        <f ca="1"/>
        <v>Smartphone</v>
      </c>
      <c r="P46">
        <f ca="1"/>
        <v>600</v>
      </c>
      <c r="Q46" t="str">
        <f ca="1"/>
        <v>San Diego</v>
      </c>
    </row>
    <row r="47" spans="1:17" x14ac:dyDescent="0.25">
      <c r="J47" t="str">
        <f ca="1"/>
        <v>B191</v>
      </c>
      <c r="K47">
        <f ca="1"/>
        <v>44611</v>
      </c>
      <c r="L47" t="str">
        <f ca="1"/>
        <v>Feb</v>
      </c>
      <c r="M47" t="str">
        <f ca="1"/>
        <v>Emma</v>
      </c>
      <c r="N47" t="str">
        <f ca="1"/>
        <v>West</v>
      </c>
      <c r="O47" t="str">
        <f ca="1"/>
        <v>Smartphone</v>
      </c>
      <c r="P47">
        <f ca="1"/>
        <v>550</v>
      </c>
      <c r="Q47" t="str">
        <f ca="1"/>
        <v>Washington</v>
      </c>
    </row>
    <row r="48" spans="1:17" x14ac:dyDescent="0.25">
      <c r="J48" t="str">
        <f ca="1"/>
        <v>N132</v>
      </c>
      <c r="K48">
        <f ca="1"/>
        <v>44619</v>
      </c>
      <c r="L48" t="str">
        <f ca="1"/>
        <v>Feb</v>
      </c>
      <c r="M48" t="str">
        <f ca="1"/>
        <v>Emma</v>
      </c>
      <c r="N48" t="str">
        <f ca="1"/>
        <v>West</v>
      </c>
      <c r="O48" t="str">
        <f ca="1"/>
        <v>Smartphone</v>
      </c>
      <c r="P48">
        <f ca="1"/>
        <v>480</v>
      </c>
      <c r="Q48" t="str">
        <f ca="1"/>
        <v>Las Vegas</v>
      </c>
    </row>
    <row r="49" spans="10:17" x14ac:dyDescent="0.25">
      <c r="J49" t="str">
        <f ca="1"/>
        <v>ER123</v>
      </c>
      <c r="K49">
        <f ca="1"/>
        <v>44620</v>
      </c>
      <c r="L49" t="str">
        <f ca="1"/>
        <v>Feb</v>
      </c>
      <c r="M49" t="str">
        <f ca="1"/>
        <v>ahmad</v>
      </c>
      <c r="N49" t="str">
        <f ca="1"/>
        <v>wewe</v>
      </c>
      <c r="O49" t="str">
        <f ca="1"/>
        <v>telie</v>
      </c>
      <c r="P49">
        <f ca="1"/>
        <v>3456</v>
      </c>
      <c r="Q49" t="str">
        <f ca="1"/>
        <v>sahiwal</v>
      </c>
    </row>
  </sheetData>
  <mergeCells count="1">
    <mergeCell ref="A1:H1"/>
  </mergeCells>
  <conditionalFormatting sqref="A3:H44 J4">
    <cfRule type="expression" dxfId="144" priority="1">
      <formula>RANK($G3,$G$3:$G$43)&lt;=3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861BA-5D62-4188-A668-75F063669CE5}">
  <sheetPr codeName="Sheet2"/>
  <dimension ref="A1:M27"/>
  <sheetViews>
    <sheetView tabSelected="1" zoomScale="120" zoomScaleNormal="120" workbookViewId="0">
      <selection activeCell="D27" sqref="D27"/>
    </sheetView>
  </sheetViews>
  <sheetFormatPr defaultRowHeight="15" x14ac:dyDescent="0.25"/>
  <cols>
    <col min="1" max="1" width="16.28515625" customWidth="1"/>
    <col min="2" max="2" width="29.28515625" customWidth="1"/>
    <col min="4" max="4" width="13.42578125" bestFit="1" customWidth="1"/>
    <col min="5" max="5" width="33.28515625" customWidth="1"/>
    <col min="7" max="7" width="14.28515625" customWidth="1"/>
    <col min="8" max="8" width="34.7109375" customWidth="1"/>
    <col min="10" max="10" width="0.42578125" customWidth="1"/>
  </cols>
  <sheetData>
    <row r="1" spans="1:13" ht="27" customHeight="1" x14ac:dyDescent="0.4">
      <c r="A1" s="12" t="s">
        <v>142</v>
      </c>
      <c r="B1" s="12"/>
      <c r="C1" s="12"/>
      <c r="D1" s="12"/>
      <c r="E1" s="12"/>
      <c r="F1" s="12"/>
      <c r="G1" s="12"/>
      <c r="H1" s="12"/>
      <c r="I1" s="12"/>
      <c r="J1" s="6"/>
    </row>
    <row r="2" spans="1:13" ht="53.25" customHeight="1" x14ac:dyDescent="0.25">
      <c r="A2" s="6"/>
      <c r="B2" s="6"/>
      <c r="C2" s="6"/>
      <c r="D2" s="6"/>
      <c r="E2" s="6"/>
      <c r="F2" s="6"/>
      <c r="G2" s="6"/>
      <c r="H2" s="6"/>
      <c r="I2" s="6"/>
      <c r="J2" s="6"/>
    </row>
    <row r="3" spans="1:13" x14ac:dyDescent="0.25">
      <c r="A3" s="6" t="s">
        <v>138</v>
      </c>
      <c r="B3" s="6" t="s">
        <v>140</v>
      </c>
      <c r="C3" s="14">
        <v>2</v>
      </c>
      <c r="D3" s="6" t="s">
        <v>138</v>
      </c>
      <c r="E3" s="6" t="s">
        <v>140</v>
      </c>
      <c r="F3" s="14">
        <v>2</v>
      </c>
      <c r="G3" s="6" t="s">
        <v>138</v>
      </c>
      <c r="H3" s="6" t="s">
        <v>140</v>
      </c>
      <c r="I3" s="6"/>
      <c r="J3" s="6"/>
    </row>
    <row r="4" spans="1:13" x14ac:dyDescent="0.25">
      <c r="A4" s="7" t="s">
        <v>29</v>
      </c>
      <c r="B4" s="8">
        <v>0.48720136518771329</v>
      </c>
      <c r="C4" s="6"/>
      <c r="D4" s="7" t="s">
        <v>34</v>
      </c>
      <c r="E4" s="9">
        <v>6330</v>
      </c>
      <c r="F4" s="14">
        <v>3</v>
      </c>
      <c r="G4" s="7" t="s">
        <v>27</v>
      </c>
      <c r="H4" s="9">
        <v>23770</v>
      </c>
      <c r="I4" s="6"/>
      <c r="J4" s="6"/>
    </row>
    <row r="5" spans="1:13" x14ac:dyDescent="0.25">
      <c r="A5" s="7" t="s">
        <v>35</v>
      </c>
      <c r="B5" s="8">
        <v>0.51279863481228671</v>
      </c>
      <c r="C5" s="6"/>
      <c r="D5" s="7" t="s">
        <v>37</v>
      </c>
      <c r="E5" s="9">
        <v>5900</v>
      </c>
      <c r="F5" s="6"/>
      <c r="G5" s="7" t="s">
        <v>33</v>
      </c>
      <c r="H5" s="9">
        <v>10050</v>
      </c>
      <c r="I5" s="6"/>
      <c r="J5" s="6"/>
      <c r="M5" t="s">
        <v>149</v>
      </c>
    </row>
    <row r="6" spans="1:13" x14ac:dyDescent="0.25">
      <c r="A6" s="7" t="s">
        <v>139</v>
      </c>
      <c r="B6" s="8">
        <v>1</v>
      </c>
      <c r="C6" s="6"/>
      <c r="D6" s="7" t="s">
        <v>139</v>
      </c>
      <c r="E6" s="9">
        <v>12230</v>
      </c>
      <c r="F6" s="6"/>
      <c r="G6" s="7" t="s">
        <v>30</v>
      </c>
      <c r="H6" s="9">
        <v>10300</v>
      </c>
      <c r="I6" s="6"/>
      <c r="J6" s="6"/>
      <c r="M6" t="s">
        <v>151</v>
      </c>
    </row>
    <row r="7" spans="1:13" x14ac:dyDescent="0.25">
      <c r="C7" s="6"/>
      <c r="F7" s="6"/>
      <c r="G7" s="7" t="s">
        <v>139</v>
      </c>
      <c r="H7" s="9">
        <v>44120</v>
      </c>
      <c r="I7" s="6"/>
      <c r="J7" s="6"/>
      <c r="M7" t="s">
        <v>150</v>
      </c>
    </row>
    <row r="8" spans="1:13" x14ac:dyDescent="0.25">
      <c r="C8" s="6"/>
      <c r="F8" s="6"/>
      <c r="I8" s="6"/>
      <c r="J8" s="6"/>
    </row>
    <row r="9" spans="1:13" x14ac:dyDescent="0.25">
      <c r="C9" s="6"/>
      <c r="F9" s="6"/>
      <c r="G9" s="6"/>
      <c r="H9" s="6"/>
      <c r="I9" s="6"/>
      <c r="J9" s="6"/>
    </row>
    <row r="10" spans="1:13" x14ac:dyDescent="0.25">
      <c r="A10" s="6"/>
      <c r="B10" s="6"/>
      <c r="C10" s="6"/>
      <c r="F10" s="6"/>
      <c r="G10" s="6"/>
      <c r="H10" s="6"/>
      <c r="I10" s="6"/>
      <c r="J10" s="6"/>
    </row>
    <row r="11" spans="1:13" x14ac:dyDescent="0.25">
      <c r="A11" s="6"/>
      <c r="B11" s="6"/>
      <c r="C11" s="6"/>
      <c r="F11" s="6"/>
      <c r="G11" s="6"/>
      <c r="H11" s="6"/>
      <c r="I11" s="6"/>
      <c r="J11" s="6"/>
    </row>
    <row r="12" spans="1:13" x14ac:dyDescent="0.25">
      <c r="A12" s="6"/>
      <c r="B12" s="6"/>
      <c r="C12" s="6"/>
      <c r="F12" s="6"/>
      <c r="G12" s="6"/>
      <c r="H12" s="6"/>
      <c r="I12" s="6"/>
      <c r="J12" s="6"/>
    </row>
    <row r="13" spans="1:13" x14ac:dyDescent="0.25">
      <c r="A13" s="6"/>
      <c r="B13" s="6"/>
      <c r="C13" s="6"/>
      <c r="F13" s="6"/>
      <c r="G13" s="6"/>
      <c r="H13" s="6"/>
      <c r="I13" s="6"/>
      <c r="J13" s="6"/>
    </row>
    <row r="14" spans="1:13" x14ac:dyDescent="0.25">
      <c r="A14" s="6"/>
      <c r="B14" s="6"/>
      <c r="C14" s="6"/>
      <c r="D14" s="6"/>
      <c r="E14" s="6"/>
      <c r="F14" s="6"/>
      <c r="G14" s="6"/>
      <c r="H14" s="6"/>
      <c r="I14" s="6"/>
      <c r="J14" s="6"/>
    </row>
    <row r="15" spans="1:13" x14ac:dyDescent="0.25">
      <c r="A15" s="6"/>
      <c r="B15" s="6"/>
      <c r="C15" s="6"/>
      <c r="D15" s="6"/>
      <c r="E15" s="6"/>
      <c r="F15" s="6"/>
      <c r="G15" s="6"/>
      <c r="H15" s="6"/>
      <c r="I15" s="6"/>
      <c r="J15" s="6"/>
    </row>
    <row r="16" spans="1:13" x14ac:dyDescent="0.25">
      <c r="A16" s="6"/>
      <c r="B16" s="6"/>
      <c r="C16" s="6"/>
      <c r="D16" s="6"/>
      <c r="E16" s="6"/>
      <c r="F16" s="6"/>
      <c r="G16" s="6"/>
      <c r="H16" s="6"/>
      <c r="I16" s="6"/>
      <c r="J16" s="6"/>
    </row>
    <row r="17" spans="1:13" x14ac:dyDescent="0.25">
      <c r="A17" s="6"/>
      <c r="B17" s="6"/>
      <c r="C17" s="6"/>
      <c r="D17" s="6"/>
      <c r="E17" s="6"/>
      <c r="F17" s="6"/>
      <c r="G17" s="6"/>
      <c r="H17" s="6"/>
      <c r="I17" s="6"/>
      <c r="J17" s="6"/>
    </row>
    <row r="18" spans="1:13" x14ac:dyDescent="0.25">
      <c r="A18" s="6"/>
      <c r="B18" s="6"/>
      <c r="C18" s="6"/>
      <c r="D18" s="6"/>
      <c r="E18" s="6"/>
      <c r="F18" s="6"/>
      <c r="G18" s="6"/>
      <c r="H18" s="6"/>
      <c r="I18" s="6"/>
      <c r="J18" s="6"/>
    </row>
    <row r="19" spans="1:13" x14ac:dyDescent="0.25">
      <c r="A19" s="6"/>
      <c r="B19" s="6"/>
      <c r="C19" s="6"/>
      <c r="D19" s="6"/>
      <c r="E19" s="6"/>
      <c r="F19" s="6"/>
      <c r="G19" s="6"/>
      <c r="H19" s="6"/>
      <c r="I19" s="6"/>
      <c r="J19" s="6"/>
    </row>
    <row r="20" spans="1:13" x14ac:dyDescent="0.25">
      <c r="A20" s="6"/>
      <c r="B20" s="6"/>
      <c r="C20" s="6"/>
      <c r="D20" s="6"/>
      <c r="E20" s="6"/>
      <c r="F20" s="6"/>
      <c r="G20" s="6"/>
      <c r="H20" s="6"/>
      <c r="I20" s="6"/>
      <c r="J20" s="6"/>
    </row>
    <row r="21" spans="1:13" x14ac:dyDescent="0.25">
      <c r="A21" s="6"/>
      <c r="B21" s="6"/>
      <c r="C21" s="6"/>
      <c r="D21" s="6"/>
      <c r="E21" s="6"/>
      <c r="F21" s="6"/>
      <c r="G21" s="6"/>
      <c r="H21" s="6"/>
      <c r="I21" s="6"/>
      <c r="J21" s="6"/>
    </row>
    <row r="22" spans="1:13" x14ac:dyDescent="0.25">
      <c r="A22" s="6"/>
      <c r="B22" s="6"/>
      <c r="C22" s="6"/>
      <c r="D22" s="6"/>
      <c r="E22" s="6"/>
      <c r="F22" s="6"/>
      <c r="G22" s="6"/>
      <c r="H22" s="6"/>
      <c r="I22" s="6"/>
      <c r="J22" s="6"/>
    </row>
    <row r="23" spans="1:13" x14ac:dyDescent="0.25">
      <c r="A23" s="6"/>
      <c r="B23" s="6"/>
      <c r="C23" s="6"/>
      <c r="D23" s="6"/>
      <c r="E23" s="6"/>
      <c r="F23" s="6"/>
      <c r="G23" s="6"/>
      <c r="H23" s="6"/>
      <c r="I23" s="6"/>
      <c r="J23" s="6"/>
    </row>
    <row r="24" spans="1:13" x14ac:dyDescent="0.25">
      <c r="A24" s="6"/>
      <c r="B24" s="6"/>
      <c r="C24" s="6"/>
      <c r="D24" s="6"/>
      <c r="E24" s="6"/>
      <c r="F24" s="6"/>
      <c r="G24" s="6"/>
      <c r="H24" s="6"/>
      <c r="I24" s="6"/>
      <c r="J24" s="6"/>
    </row>
    <row r="25" spans="1:13" x14ac:dyDescent="0.25">
      <c r="A25" s="6"/>
      <c r="B25" s="6"/>
      <c r="C25" s="6"/>
      <c r="D25" s="6"/>
      <c r="E25" s="6"/>
      <c r="F25" s="6"/>
      <c r="G25" s="6"/>
      <c r="H25" s="6"/>
      <c r="I25" s="6"/>
      <c r="J25" s="6"/>
      <c r="M25" t="s">
        <v>152</v>
      </c>
    </row>
    <row r="26" spans="1:13" x14ac:dyDescent="0.25">
      <c r="A26" s="6"/>
      <c r="B26" s="6"/>
      <c r="C26" s="6"/>
      <c r="D26" s="6"/>
      <c r="E26" s="6"/>
      <c r="F26" s="6"/>
      <c r="G26" s="6"/>
      <c r="H26" s="6"/>
      <c r="I26" s="6"/>
      <c r="J26" s="6"/>
    </row>
    <row r="27" spans="1:13" x14ac:dyDescent="0.25">
      <c r="A27" s="6"/>
      <c r="B27" s="6"/>
      <c r="C27" s="6"/>
      <c r="D27" s="6"/>
      <c r="E27" s="6"/>
      <c r="F27" s="6"/>
      <c r="G27" s="6"/>
      <c r="H27" s="6"/>
      <c r="I27" s="6"/>
      <c r="J27" s="6"/>
    </row>
  </sheetData>
  <mergeCells count="1">
    <mergeCell ref="A1:I1"/>
  </mergeCells>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1026" r:id="rId6" name="Spinner 2">
              <controlPr defaultSize="0" autoPict="0" macro="[0]!Spinner2_code">
                <anchor moveWithCells="1" sizeWithCells="1">
                  <from>
                    <xdr:col>1</xdr:col>
                    <xdr:colOff>152400</xdr:colOff>
                    <xdr:row>1</xdr:row>
                    <xdr:rowOff>180975</xdr:rowOff>
                  </from>
                  <to>
                    <xdr:col>1</xdr:col>
                    <xdr:colOff>304800</xdr:colOff>
                    <xdr:row>1</xdr:row>
                    <xdr:rowOff>485775</xdr:rowOff>
                  </to>
                </anchor>
              </controlPr>
            </control>
          </mc:Choice>
        </mc:AlternateContent>
        <mc:AlternateContent xmlns:mc="http://schemas.openxmlformats.org/markup-compatibility/2006">
          <mc:Choice Requires="x14">
            <control shapeId="1027" r:id="rId7" name="Spinner 3">
              <controlPr defaultSize="0" autoPict="0" macro="[0]!spinner3_code">
                <anchor moveWithCells="1" sizeWithCells="1">
                  <from>
                    <xdr:col>4</xdr:col>
                    <xdr:colOff>285750</xdr:colOff>
                    <xdr:row>1</xdr:row>
                    <xdr:rowOff>190500</xdr:rowOff>
                  </from>
                  <to>
                    <xdr:col>4</xdr:col>
                    <xdr:colOff>438150</xdr:colOff>
                    <xdr:row>1</xdr:row>
                    <xdr:rowOff>495300</xdr:rowOff>
                  </to>
                </anchor>
              </controlPr>
            </control>
          </mc:Choice>
        </mc:AlternateContent>
        <mc:AlternateContent xmlns:mc="http://schemas.openxmlformats.org/markup-compatibility/2006">
          <mc:Choice Requires="x14">
            <control shapeId="1028" r:id="rId8" name="Spinner 4">
              <controlPr defaultSize="0" autoPict="0" macro="[0]!spinner4_code">
                <anchor moveWithCells="1" sizeWithCells="1">
                  <from>
                    <xdr:col>7</xdr:col>
                    <xdr:colOff>419100</xdr:colOff>
                    <xdr:row>1</xdr:row>
                    <xdr:rowOff>200025</xdr:rowOff>
                  </from>
                  <to>
                    <xdr:col>7</xdr:col>
                    <xdr:colOff>571500</xdr:colOff>
                    <xdr:row>1</xdr:row>
                    <xdr:rowOff>504825</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Project_requirements</vt:lpstr>
      <vt:lpstr>ElectronicProductData</vt:lpstr>
      <vt:lpstr>Summary</vt:lpstr>
      <vt:lpstr>dashboard</vt:lpstr>
      <vt:lpstr>epd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shamsher55dev@outlook.com</dc:creator>
  <cp:lastModifiedBy>shamsher55dev@outlook.com</cp:lastModifiedBy>
  <dcterms:created xsi:type="dcterms:W3CDTF">2025-05-08T06:26:27Z</dcterms:created>
  <dcterms:modified xsi:type="dcterms:W3CDTF">2025-05-12T08:29:40Z</dcterms:modified>
</cp:coreProperties>
</file>